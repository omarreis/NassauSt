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5880" yWindow="45" windowWidth="19680" windowHeight="12285"/>
  </bookViews>
  <sheets>
    <sheet name="Notas" sheetId="4" r:id="rId1"/>
    <sheet name="Carteira" sheetId="5" r:id="rId2"/>
    <sheet name="Dividendos" sheetId="7" r:id="rId3"/>
    <sheet name="Serie" sheetId="8" r:id="rId4"/>
    <sheet name="NassauSt" sheetId="6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D15" i="8" l="1"/>
  <c r="Q9" i="7" l="1"/>
  <c r="R9" i="7" s="1"/>
  <c r="N9" i="7"/>
  <c r="M9" i="7"/>
  <c r="O39" i="4"/>
  <c r="P39" i="4" s="1"/>
  <c r="Q39" i="4" s="1"/>
  <c r="O38" i="4"/>
  <c r="P38" i="4" s="1"/>
  <c r="Q38" i="4" s="1"/>
  <c r="S9" i="7" l="1"/>
  <c r="H39" i="4"/>
  <c r="H38" i="4"/>
  <c r="P10" i="5"/>
  <c r="O10" i="5"/>
  <c r="N10" i="5"/>
  <c r="I10" i="5"/>
  <c r="J10" i="5" s="1"/>
  <c r="F10" i="5"/>
  <c r="E10" i="5"/>
  <c r="D10" i="5" s="1"/>
  <c r="K39" i="4"/>
  <c r="L39" i="4" s="1"/>
  <c r="M39" i="4"/>
  <c r="N39" i="4" s="1"/>
  <c r="M38" i="4"/>
  <c r="N38" i="4" s="1"/>
  <c r="K38" i="4"/>
  <c r="L38" i="4" s="1"/>
  <c r="F14" i="7"/>
  <c r="G14" i="7" s="1"/>
  <c r="F15" i="7"/>
  <c r="G15" i="7" s="1"/>
  <c r="D41" i="5"/>
  <c r="C41" i="5"/>
  <c r="L10" i="5" l="1"/>
  <c r="M10" i="5" s="1"/>
  <c r="G37" i="4"/>
  <c r="D40" i="5"/>
  <c r="C40" i="5"/>
  <c r="D42" i="5"/>
  <c r="C42" i="5"/>
  <c r="D39" i="5"/>
  <c r="C39" i="5"/>
  <c r="F13" i="7"/>
  <c r="G13" i="7" s="1"/>
  <c r="D23" i="7"/>
  <c r="E31" i="5"/>
  <c r="E30" i="5"/>
  <c r="E29" i="5"/>
  <c r="E28" i="5"/>
  <c r="P9" i="5"/>
  <c r="P8" i="5"/>
  <c r="P7" i="5"/>
  <c r="P6" i="5"/>
  <c r="P5" i="5"/>
  <c r="P4" i="5"/>
  <c r="O9" i="5"/>
  <c r="O8" i="5"/>
  <c r="O7" i="5"/>
  <c r="O6" i="5"/>
  <c r="O5" i="5"/>
  <c r="D14" i="8"/>
  <c r="O4" i="5"/>
  <c r="K37" i="5" l="1"/>
  <c r="K36" i="5"/>
  <c r="K35" i="5"/>
  <c r="K38" i="5" l="1"/>
  <c r="D13" i="8" l="1"/>
  <c r="F12" i="7"/>
  <c r="G12" i="7" s="1"/>
  <c r="F11" i="7" l="1"/>
  <c r="G11" i="7" s="1"/>
  <c r="F10" i="7"/>
  <c r="G10" i="7" s="1"/>
  <c r="D12" i="8"/>
  <c r="M35" i="4"/>
  <c r="N35" i="4" s="1"/>
  <c r="K35" i="4"/>
  <c r="L35" i="4" s="1"/>
  <c r="M34" i="4"/>
  <c r="N34" i="4" s="1"/>
  <c r="K34" i="4"/>
  <c r="L34" i="4" s="1"/>
  <c r="G33" i="4" l="1"/>
  <c r="H34" i="4"/>
  <c r="H35" i="4"/>
  <c r="D11" i="8"/>
  <c r="D10" i="8" l="1"/>
  <c r="N4" i="7"/>
  <c r="M4" i="7"/>
  <c r="N8" i="7"/>
  <c r="M8" i="7"/>
  <c r="N6" i="7"/>
  <c r="M6" i="7"/>
  <c r="N7" i="7"/>
  <c r="M7" i="7"/>
  <c r="N3" i="7"/>
  <c r="M3" i="7"/>
  <c r="Q7" i="7"/>
  <c r="R7" i="7" s="1"/>
  <c r="Q4" i="7"/>
  <c r="R4" i="7" s="1"/>
  <c r="Q8" i="7"/>
  <c r="R8" i="7" s="1"/>
  <c r="Q6" i="7"/>
  <c r="R6" i="7" s="1"/>
  <c r="Q3" i="7"/>
  <c r="R3" i="7" s="1"/>
  <c r="Q5" i="7"/>
  <c r="R5" i="7" s="1"/>
  <c r="N5" i="7"/>
  <c r="S7" i="7" l="1"/>
  <c r="S4" i="7"/>
  <c r="S8" i="7"/>
  <c r="S6" i="7"/>
  <c r="O3" i="7"/>
  <c r="O4" i="7"/>
  <c r="S3" i="7"/>
  <c r="O6" i="7"/>
  <c r="M5" i="7" l="1"/>
  <c r="F3" i="7"/>
  <c r="F9" i="7"/>
  <c r="G9" i="7" s="1"/>
  <c r="O5" i="7" l="1"/>
  <c r="S5" i="7"/>
  <c r="M13" i="7"/>
  <c r="D9" i="8"/>
  <c r="F32" i="4"/>
  <c r="D8" i="8" l="1"/>
  <c r="N7" i="5" l="1"/>
  <c r="I7" i="5"/>
  <c r="G11" i="4" l="1"/>
  <c r="F8" i="7"/>
  <c r="G8" i="7" s="1"/>
  <c r="C9" i="5" l="1"/>
  <c r="G3" i="7"/>
  <c r="I7" i="7"/>
  <c r="I6" i="7"/>
  <c r="I5" i="7"/>
  <c r="I4" i="7"/>
  <c r="I3" i="7"/>
  <c r="F4" i="7"/>
  <c r="G4" i="7" s="1"/>
  <c r="F7" i="7"/>
  <c r="G7" i="7" s="1"/>
  <c r="F6" i="7"/>
  <c r="G6" i="7" s="1"/>
  <c r="F5" i="7"/>
  <c r="G5" i="7" s="1"/>
  <c r="L31" i="4"/>
  <c r="M32" i="4"/>
  <c r="N32" i="4" s="1"/>
  <c r="K32" i="4"/>
  <c r="L32" i="4" s="1"/>
  <c r="G30" i="4" s="1"/>
  <c r="M31" i="4"/>
  <c r="N31" i="4" s="1"/>
  <c r="K31" i="4"/>
  <c r="H32" i="4"/>
  <c r="H31" i="4"/>
  <c r="D5" i="8" l="1"/>
  <c r="N28" i="4"/>
  <c r="M28" i="4"/>
  <c r="K28" i="4"/>
  <c r="L28" i="4" s="1"/>
  <c r="E28" i="4"/>
  <c r="J28" i="5"/>
  <c r="D7" i="8" l="1"/>
  <c r="D6" i="8"/>
  <c r="D4" i="8"/>
  <c r="D3" i="8"/>
  <c r="M27" i="4"/>
  <c r="N27" i="4" s="1"/>
  <c r="K27" i="4"/>
  <c r="L27" i="4" s="1"/>
  <c r="H29" i="4" l="1"/>
  <c r="G26" i="4"/>
  <c r="H28" i="4"/>
  <c r="N9" i="5"/>
  <c r="N8" i="5"/>
  <c r="N6" i="5"/>
  <c r="N5" i="5"/>
  <c r="N4" i="5"/>
  <c r="M25" i="4"/>
  <c r="N25" i="4" s="1"/>
  <c r="K25" i="4"/>
  <c r="L25" i="4" s="1"/>
  <c r="M24" i="4"/>
  <c r="N24" i="4" s="1"/>
  <c r="K24" i="4"/>
  <c r="L24" i="4" s="1"/>
  <c r="I9" i="5"/>
  <c r="N23" i="4"/>
  <c r="M23" i="4"/>
  <c r="K23" i="4"/>
  <c r="L23" i="4" s="1"/>
  <c r="F9" i="5"/>
  <c r="E9" i="5"/>
  <c r="M22" i="4"/>
  <c r="N22" i="4" s="1"/>
  <c r="K22" i="4"/>
  <c r="L22" i="4" s="1"/>
  <c r="M21" i="4"/>
  <c r="N21" i="4" s="1"/>
  <c r="K21" i="4"/>
  <c r="L21" i="4" s="1"/>
  <c r="G20" i="4" s="1"/>
  <c r="I8" i="5"/>
  <c r="I6" i="5"/>
  <c r="I5" i="5"/>
  <c r="I4" i="5"/>
  <c r="M18" i="4"/>
  <c r="N18" i="4" s="1"/>
  <c r="K18" i="4"/>
  <c r="L18" i="4" s="1"/>
  <c r="M17" i="4"/>
  <c r="N17" i="4" s="1"/>
  <c r="K17" i="4"/>
  <c r="L17" i="4" s="1"/>
  <c r="K30" i="5" l="1"/>
  <c r="K31" i="5" s="1"/>
  <c r="H22" i="4"/>
  <c r="H23" i="4"/>
  <c r="J9" i="5"/>
  <c r="C30" i="5" s="1"/>
  <c r="D9" i="5"/>
  <c r="H19" i="4"/>
  <c r="G16" i="4"/>
  <c r="H18" i="4"/>
  <c r="L9" i="5" l="1"/>
  <c r="M9" i="5" s="1"/>
  <c r="I2" i="8" l="1"/>
  <c r="I4" i="8"/>
  <c r="F8" i="5"/>
  <c r="C8" i="5"/>
  <c r="E8" i="5"/>
  <c r="J8" i="5" l="1"/>
  <c r="C29" i="5" s="1"/>
  <c r="D8" i="5"/>
  <c r="F7" i="5"/>
  <c r="L8" i="5" l="1"/>
  <c r="M8" i="5" s="1"/>
  <c r="F6" i="5"/>
  <c r="A38" i="6" l="1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K3" i="4" l="1"/>
  <c r="K2" i="4"/>
  <c r="E3" i="4" l="1"/>
  <c r="M14" i="4"/>
  <c r="N14" i="4" s="1"/>
  <c r="E6" i="5" s="1"/>
  <c r="M13" i="4"/>
  <c r="N13" i="4" s="1"/>
  <c r="M12" i="4"/>
  <c r="N12" i="4" s="1"/>
  <c r="K14" i="4"/>
  <c r="K13" i="4"/>
  <c r="K12" i="4"/>
  <c r="L12" i="4" s="1"/>
  <c r="F4" i="5"/>
  <c r="F5" i="5"/>
  <c r="L13" i="4" l="1"/>
  <c r="C7" i="5"/>
  <c r="E5" i="5"/>
  <c r="E7" i="5"/>
  <c r="L14" i="4"/>
  <c r="H14" i="4" s="1"/>
  <c r="C6" i="5"/>
  <c r="C5" i="5"/>
  <c r="E4" i="5"/>
  <c r="C4" i="5"/>
  <c r="J4" i="5" s="1"/>
  <c r="F24" i="5"/>
  <c r="H13" i="4" l="1"/>
  <c r="D5" i="5"/>
  <c r="J7" i="5"/>
  <c r="C31" i="5" s="1"/>
  <c r="D7" i="5"/>
  <c r="J6" i="5"/>
  <c r="D6" i="5"/>
  <c r="D4" i="5"/>
  <c r="C24" i="5"/>
  <c r="J5" i="5"/>
  <c r="C35" i="5" l="1"/>
  <c r="C28" i="5"/>
  <c r="C36" i="5"/>
  <c r="J24" i="5"/>
  <c r="K10" i="5" s="1"/>
  <c r="L7" i="5"/>
  <c r="M7" i="5" s="1"/>
  <c r="L6" i="5"/>
  <c r="L5" i="5"/>
  <c r="M5" i="5" s="1"/>
  <c r="D24" i="5"/>
  <c r="L4" i="5"/>
  <c r="M4" i="5" l="1"/>
  <c r="M6" i="5"/>
  <c r="K9" i="5"/>
  <c r="K8" i="5"/>
  <c r="K6" i="5"/>
  <c r="K7" i="5"/>
  <c r="I2" i="4"/>
  <c r="G2" i="4" s="1"/>
  <c r="G3" i="4" s="1"/>
  <c r="K4" i="5"/>
  <c r="K5" i="5"/>
  <c r="J26" i="5"/>
  <c r="I3" i="8" s="1"/>
  <c r="L24" i="5"/>
  <c r="M24" i="5" s="1"/>
  <c r="K24" i="5" l="1"/>
  <c r="C37" i="5" l="1"/>
  <c r="D35" i="5" l="1"/>
  <c r="D36" i="5"/>
  <c r="E32" i="5"/>
  <c r="C32" i="5"/>
  <c r="D37" i="5" l="1"/>
  <c r="D30" i="5"/>
  <c r="D31" i="5"/>
  <c r="D29" i="5"/>
  <c r="D28" i="5"/>
  <c r="D32" i="5" l="1"/>
</calcChain>
</file>

<file path=xl/comments1.xml><?xml version="1.0" encoding="utf-8"?>
<comments xmlns="http://schemas.openxmlformats.org/spreadsheetml/2006/main">
  <authors>
    <author>Omar Reis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Ativa corretora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inicial investido
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atual dos ativos da carteira + caixa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atual dos ativos da carteira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inicial + saldo das ops - despesas e IRRF
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atual  da quota
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inicial + saldo do financeiro - despesas e IRRF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atual  da quota
</t>
        </r>
      </text>
    </comment>
    <comment ref="C1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usar C ou V ( maiusculas)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codigo do ativo
usar maiúsculas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Custos ( impostos+  taxas + corretagem + emonumentos) exceto IR retido na fonte ( dedo duro ) </t>
        </r>
      </text>
    </comment>
    <comment ref="J1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IR retido na Fonte
( conhecido por imposto dedo-duro )
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formula com valor negativo para compras
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somente compras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data ficticia. Não sei qdo comprei essas 3 coisas...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Botei os mesmos precos historicos da cart da Necton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Vende tudo ao preco de custo 5.1838
e compra ao novo preço pra manter o valor
</t>
        </r>
      </text>
    </comment>
    <comment ref="E3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passou de 5k para 636 wtf
</t>
        </r>
      </text>
    </comment>
    <comment ref="F3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preco med calculado pra compra ser igual a venda.
i.e. altera o numero de ações sem alterar o valor historico</t>
        </r>
      </text>
    </comment>
  </commentList>
</comments>
</file>

<file path=xl/comments2.xml><?xml version="1.0" encoding="utf-8"?>
<comments xmlns="http://schemas.openxmlformats.org/spreadsheetml/2006/main">
  <authors>
    <author>Omar Reis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Quantidade atual considerando compras e vendas registradas na pagina Notas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numero de negocios
(compras + vendas)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Omar Reis:
A ação
FI fundo imob
ETF
BDR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 xml:space="preserve">Omar Reis
cotação atual obtida do NassauSt via fórmula DDE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Isso tá calculado errado. Como calcula no Excel ?
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valoriz em rel ao valor histortico medio</t>
        </r>
      </text>
    </comment>
    <comment ref="E27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 de ativos do tipo</t>
        </r>
      </text>
    </comment>
    <comment ref="K3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 de ativos inicializados com
Cotaçao &gt; 0 (inicializada )
deve ser =6
</t>
        </r>
      </text>
    </comment>
  </commentList>
</comments>
</file>

<file path=xl/comments3.xml><?xml version="1.0" encoding="utf-8"?>
<comments xmlns="http://schemas.openxmlformats.org/spreadsheetml/2006/main">
  <authors>
    <author>Omar Reis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numero de eventos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as of 27/5/22</t>
        </r>
      </text>
    </comment>
  </commentList>
</comments>
</file>

<file path=xl/comments4.xml><?xml version="1.0" encoding="utf-8"?>
<comments xmlns="http://schemas.openxmlformats.org/spreadsheetml/2006/main">
  <authors>
    <author>Omar Reis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DO da carteira</t>
        </r>
      </text>
    </comment>
  </commentList>
</comments>
</file>

<file path=xl/sharedStrings.xml><?xml version="1.0" encoding="utf-8"?>
<sst xmlns="http://schemas.openxmlformats.org/spreadsheetml/2006/main" count="219" uniqueCount="107">
  <si>
    <t>qde</t>
  </si>
  <si>
    <t>op</t>
  </si>
  <si>
    <t>data</t>
  </si>
  <si>
    <t>C</t>
  </si>
  <si>
    <t>Despesas</t>
  </si>
  <si>
    <t>papel</t>
  </si>
  <si>
    <t>Ativo</t>
  </si>
  <si>
    <t>PrMed</t>
  </si>
  <si>
    <t>IRRF</t>
  </si>
  <si>
    <t>preço med</t>
  </si>
  <si>
    <t>A</t>
  </si>
  <si>
    <t>ETF</t>
  </si>
  <si>
    <t>FI</t>
  </si>
  <si>
    <t>BDR</t>
  </si>
  <si>
    <t>cotação</t>
  </si>
  <si>
    <t>valor atu</t>
  </si>
  <si>
    <t>part%</t>
  </si>
  <si>
    <t>Lucro$</t>
  </si>
  <si>
    <t>Valor Hist</t>
  </si>
  <si>
    <t>nota</t>
  </si>
  <si>
    <t xml:space="preserve">Planilha de Controle de Carteira de Ativos Financeiros </t>
  </si>
  <si>
    <t>cont negs</t>
  </si>
  <si>
    <t>tipo</t>
  </si>
  <si>
    <t>Valoriz</t>
  </si>
  <si>
    <t>// carteira de ativos- suporta até 1000 lançamentos ( depois tem que ajustar as formulas )</t>
  </si>
  <si>
    <t xml:space="preserve"> (+) Caixa</t>
  </si>
  <si>
    <t>valor aquis</t>
  </si>
  <si>
    <t>qde adiq</t>
  </si>
  <si>
    <t>valor ini</t>
  </si>
  <si>
    <t>numquotas</t>
  </si>
  <si>
    <t>caixa</t>
  </si>
  <si>
    <t>Qde</t>
  </si>
  <si>
    <t>quota</t>
  </si>
  <si>
    <t>// digite as notas de corretagem abaixo, como exemplificado ( até linha 1010)</t>
  </si>
  <si>
    <t>valor cart</t>
  </si>
  <si>
    <t>financeiro</t>
  </si>
  <si>
    <t>despesas</t>
  </si>
  <si>
    <t>**Aquisição**</t>
  </si>
  <si>
    <t>// Quando um novo ativo for adicionado, copie linha da tabela e digite o codigo do novo ativo. Suporta até 20 ativos.</t>
  </si>
  <si>
    <t>val ativos</t>
  </si>
  <si>
    <t>val atual</t>
  </si>
  <si>
    <t>valor tot</t>
  </si>
  <si>
    <t xml:space="preserve">// As linhas abaixo podem ser copiadas e coladas no app NassauSt, para transferir notas. </t>
  </si>
  <si>
    <t>// Selecione range na coluna A e use Ctrl-C para copiar. No app Nassau, na carteira, abra o menu e clique "Cola objetos"</t>
  </si>
  <si>
    <t>Saldo financeiro</t>
  </si>
  <si>
    <t>compras</t>
  </si>
  <si>
    <t>vendas</t>
  </si>
  <si>
    <t>VALE3</t>
  </si>
  <si>
    <t>$/ação</t>
  </si>
  <si>
    <t>Serie historica</t>
  </si>
  <si>
    <t>CART</t>
  </si>
  <si>
    <t>ibov</t>
  </si>
  <si>
    <t>IBOV</t>
  </si>
  <si>
    <t>hoje</t>
  </si>
  <si>
    <t>benchmark</t>
  </si>
  <si>
    <t xml:space="preserve">Use Ctrl-Shift C para salvar valores </t>
  </si>
  <si>
    <t>ITUB4</t>
  </si>
  <si>
    <t>XPBR31</t>
  </si>
  <si>
    <t>AMZO34</t>
  </si>
  <si>
    <t>BOVA11</t>
  </si>
  <si>
    <t>KNCA11</t>
  </si>
  <si>
    <t>Descr</t>
  </si>
  <si>
    <t>qde c/ sinal</t>
  </si>
  <si>
    <t>Num</t>
  </si>
  <si>
    <t>ATWOOD</t>
  </si>
  <si>
    <t>mercado</t>
  </si>
  <si>
    <t>V</t>
  </si>
  <si>
    <t>DIV</t>
  </si>
  <si>
    <t>JCP</t>
  </si>
  <si>
    <t>REND FI</t>
  </si>
  <si>
    <t>Nassau</t>
  </si>
  <si>
    <t xml:space="preserve"> </t>
  </si>
  <si>
    <t>yield</t>
  </si>
  <si>
    <t>oper ficticia ( grupamento de AMZO34  - paridade 157 --&gt; paridade 20 )</t>
  </si>
  <si>
    <t xml:space="preserve"> Atwood</t>
  </si>
  <si>
    <t>valor rend</t>
  </si>
  <si>
    <t>rendimento</t>
  </si>
  <si>
    <t>num ev</t>
  </si>
  <si>
    <t>med p/ ev</t>
  </si>
  <si>
    <t>quant</t>
  </si>
  <si>
    <t>cot</t>
  </si>
  <si>
    <t>valor</t>
  </si>
  <si>
    <t>Totais de rendimentos ( div, jcp e rend FI)</t>
  </si>
  <si>
    <t>Inserir abaixo os rendimentos recebidos</t>
  </si>
  <si>
    <t>var</t>
  </si>
  <si>
    <t>PL</t>
  </si>
  <si>
    <t>Alocação por moeda</t>
  </si>
  <si>
    <t>R</t>
  </si>
  <si>
    <t>D</t>
  </si>
  <si>
    <t>avanços/declínios</t>
  </si>
  <si>
    <t>altas</t>
  </si>
  <si>
    <t>baixas</t>
  </si>
  <si>
    <t>zero</t>
  </si>
  <si>
    <t>Moeda</t>
  </si>
  <si>
    <t>NA</t>
  </si>
  <si>
    <t>Alocação por tipo</t>
  </si>
  <si>
    <t>part %</t>
  </si>
  <si>
    <t>EUSCOM</t>
  </si>
  <si>
    <t>PETR4</t>
  </si>
  <si>
    <t>// digite dados da nota nas partes com fundo colorido (partes de fundo branco contém formulas)</t>
  </si>
  <si>
    <t>valor 31/12/22</t>
  </si>
  <si>
    <t>resultado</t>
  </si>
  <si>
    <t>troca BOVA11 --&gt; PETR4</t>
  </si>
  <si>
    <t>Cot atual</t>
  </si>
  <si>
    <t>osc</t>
  </si>
  <si>
    <r>
      <t xml:space="preserve">// Essa planilha requer o App </t>
    </r>
    <r>
      <rPr>
        <b/>
        <i/>
        <sz val="10"/>
        <color theme="9" tint="-0.499984740745262"/>
        <rFont val="Calibri"/>
        <family val="2"/>
        <scheme val="minor"/>
      </rPr>
      <t>NassauSt</t>
    </r>
    <r>
      <rPr>
        <i/>
        <sz val="10"/>
        <color theme="9" tint="-0.499984740745262"/>
        <rFont val="Calibri"/>
        <family val="2"/>
        <scheme val="minor"/>
      </rPr>
      <t xml:space="preserve"> rodando para prover cotações atuais</t>
    </r>
  </si>
  <si>
    <t>// jan/23 - repo em github.com/omarreis/NassauSt - by oMAR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</si>
</sst>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[$-409]d\-mmm\-yy;@"/>
    <numFmt numFmtId="166" formatCode="#,##0.00_ ;[Red]\-#,##0.00\ "/>
    <numFmt numFmtId="167" formatCode="0.0%"/>
    <numFmt numFmtId="168" formatCode="0.0%\ ;[Red]\-0.0%\ "/>
    <numFmt numFmtId="169" formatCode="#,##0_ ;[Red]\-#,##0\ "/>
    <numFmt numFmtId="170" formatCode="0.0_ ;[Red]\-0.0\ "/>
    <numFmt numFmtId="171" formatCode="\+0.0%\ ;[Red]\-0.0%\ "/>
    <numFmt numFmtId="172" formatCode="[Blue]#,##0.00_ ;[Red]\-#,##0.00\ 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5" tint="-0.249977111117893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sz val="9"/>
      <color theme="5" tint="-0.249977111117893"/>
      <name val="Calibri"/>
      <family val="2"/>
      <scheme val="minor"/>
    </font>
    <font>
      <b/>
      <i/>
      <sz val="10"/>
      <color theme="3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4" tint="-0.249977111117893"/>
      <name val="Arial"/>
      <family val="2"/>
    </font>
    <font>
      <i/>
      <sz val="9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9"/>
      <color theme="5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i/>
      <sz val="8"/>
      <color theme="4" tint="-0.249977111117893"/>
      <name val="Calibri"/>
      <family val="2"/>
      <scheme val="minor"/>
    </font>
    <font>
      <b/>
      <i/>
      <sz val="8"/>
      <color theme="4" tint="-0.249977111117893"/>
      <name val="Calibri"/>
      <family val="2"/>
      <scheme val="minor"/>
    </font>
    <font>
      <sz val="6"/>
      <color theme="1"/>
      <name val="Calibri"/>
      <family val="2"/>
      <scheme val="minor"/>
    </font>
    <font>
      <sz val="6"/>
      <color theme="4" tint="-0.249977111117893"/>
      <name val="Arial"/>
      <family val="2"/>
    </font>
    <font>
      <b/>
      <sz val="9"/>
      <color theme="0"/>
      <name val="Calibri"/>
      <family val="2"/>
      <scheme val="minor"/>
    </font>
    <font>
      <sz val="10"/>
      <color theme="3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b/>
      <i/>
      <sz val="10"/>
      <color theme="3" tint="0.39997558519241921"/>
      <name val="Calibri"/>
      <family val="2"/>
      <scheme val="minor"/>
    </font>
    <font>
      <i/>
      <sz val="8"/>
      <color theme="3" tint="-0.249977111117893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i/>
      <sz val="8"/>
      <color rgb="FF7030A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color theme="9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</borders>
  <cellStyleXfs count="1">
    <xf numFmtId="0" fontId="0" fillId="0" borderId="0"/>
  </cellStyleXfs>
  <cellXfs count="237">
    <xf numFmtId="0" fontId="0" fillId="0" borderId="0" xfId="0"/>
    <xf numFmtId="3" fontId="0" fillId="0" borderId="0" xfId="0" applyNumberFormat="1"/>
    <xf numFmtId="0" fontId="1" fillId="0" borderId="0" xfId="0" applyFont="1"/>
    <xf numFmtId="4" fontId="1" fillId="0" borderId="1" xfId="0" applyNumberFormat="1" applyFont="1" applyBorder="1"/>
    <xf numFmtId="0" fontId="0" fillId="0" borderId="1" xfId="0" applyBorder="1"/>
    <xf numFmtId="0" fontId="0" fillId="0" borderId="0" xfId="0" applyBorder="1"/>
    <xf numFmtId="0" fontId="6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right"/>
    </xf>
    <xf numFmtId="0" fontId="12" fillId="0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4" fontId="12" fillId="0" borderId="0" xfId="0" applyNumberFormat="1" applyFont="1" applyAlignment="1">
      <alignment horizontal="right"/>
    </xf>
    <xf numFmtId="0" fontId="6" fillId="0" borderId="0" xfId="0" applyFont="1" applyBorder="1" applyAlignment="1">
      <alignment horizontal="center"/>
    </xf>
    <xf numFmtId="164" fontId="0" fillId="2" borderId="0" xfId="0" applyNumberFormat="1" applyFill="1"/>
    <xf numFmtId="0" fontId="10" fillId="2" borderId="0" xfId="0" applyFont="1" applyFill="1"/>
    <xf numFmtId="0" fontId="12" fillId="3" borderId="1" xfId="0" applyFont="1" applyFill="1" applyBorder="1" applyAlignment="1">
      <alignment horizontal="right"/>
    </xf>
    <xf numFmtId="0" fontId="12" fillId="3" borderId="1" xfId="0" applyFont="1" applyFill="1" applyBorder="1" applyAlignment="1">
      <alignment horizontal="right" vertical="center"/>
    </xf>
    <xf numFmtId="166" fontId="4" fillId="3" borderId="1" xfId="0" applyNumberFormat="1" applyFont="1" applyFill="1" applyBorder="1" applyAlignment="1">
      <alignment horizontal="right"/>
    </xf>
    <xf numFmtId="2" fontId="4" fillId="3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/>
    <xf numFmtId="168" fontId="7" fillId="0" borderId="0" xfId="0" applyNumberFormat="1" applyFont="1" applyBorder="1" applyAlignment="1">
      <alignment horizontal="center"/>
    </xf>
    <xf numFmtId="0" fontId="4" fillId="0" borderId="0" xfId="0" applyFont="1"/>
    <xf numFmtId="0" fontId="13" fillId="0" borderId="1" xfId="0" applyFont="1" applyFill="1" applyBorder="1" applyAlignment="1">
      <alignment horizontal="right"/>
    </xf>
    <xf numFmtId="3" fontId="14" fillId="0" borderId="0" xfId="0" applyNumberFormat="1" applyFont="1" applyFill="1"/>
    <xf numFmtId="166" fontId="14" fillId="0" borderId="0" xfId="0" applyNumberFormat="1" applyFont="1"/>
    <xf numFmtId="0" fontId="10" fillId="0" borderId="0" xfId="0" applyFont="1" applyAlignment="1">
      <alignment vertical="center"/>
    </xf>
    <xf numFmtId="0" fontId="5" fillId="0" borderId="0" xfId="0" applyFont="1"/>
    <xf numFmtId="0" fontId="13" fillId="0" borderId="0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right"/>
    </xf>
    <xf numFmtId="0" fontId="6" fillId="0" borderId="1" xfId="0" quotePrefix="1" applyFont="1" applyBorder="1" applyAlignment="1">
      <alignment horizontal="right"/>
    </xf>
    <xf numFmtId="0" fontId="12" fillId="0" borderId="1" xfId="0" applyFont="1" applyBorder="1" applyAlignment="1">
      <alignment horizontal="right"/>
    </xf>
    <xf numFmtId="166" fontId="4" fillId="0" borderId="0" xfId="0" applyNumberFormat="1" applyFont="1"/>
    <xf numFmtId="0" fontId="12" fillId="0" borderId="0" xfId="0" applyFont="1"/>
    <xf numFmtId="0" fontId="5" fillId="0" borderId="1" xfId="0" applyFont="1" applyBorder="1" applyAlignment="1">
      <alignment vertical="center"/>
    </xf>
    <xf numFmtId="0" fontId="0" fillId="0" borderId="2" xfId="0" applyBorder="1"/>
    <xf numFmtId="0" fontId="6" fillId="0" borderId="1" xfId="0" applyFont="1" applyBorder="1" applyAlignment="1">
      <alignment horizontal="right"/>
    </xf>
    <xf numFmtId="166" fontId="12" fillId="2" borderId="1" xfId="0" applyNumberFormat="1" applyFont="1" applyFill="1" applyBorder="1"/>
    <xf numFmtId="0" fontId="6" fillId="0" borderId="1" xfId="0" applyFont="1" applyBorder="1" applyAlignment="1">
      <alignment horizontal="center"/>
    </xf>
    <xf numFmtId="166" fontId="1" fillId="0" borderId="1" xfId="0" applyNumberFormat="1" applyFont="1" applyBorder="1"/>
    <xf numFmtId="166" fontId="0" fillId="0" borderId="3" xfId="0" applyNumberFormat="1" applyBorder="1"/>
    <xf numFmtId="0" fontId="0" fillId="0" borderId="6" xfId="0" applyBorder="1"/>
    <xf numFmtId="0" fontId="6" fillId="0" borderId="7" xfId="0" applyFont="1" applyBorder="1" applyAlignment="1">
      <alignment horizontal="right"/>
    </xf>
    <xf numFmtId="169" fontId="12" fillId="2" borderId="7" xfId="0" applyNumberFormat="1" applyFont="1" applyFill="1" applyBorder="1"/>
    <xf numFmtId="164" fontId="0" fillId="0" borderId="7" xfId="0" applyNumberFormat="1" applyBorder="1"/>
    <xf numFmtId="166" fontId="0" fillId="0" borderId="7" xfId="0" applyNumberFormat="1" applyBorder="1"/>
    <xf numFmtId="164" fontId="0" fillId="0" borderId="8" xfId="0" applyNumberFormat="1" applyBorder="1"/>
    <xf numFmtId="0" fontId="0" fillId="0" borderId="0" xfId="0" applyFill="1" applyBorder="1"/>
    <xf numFmtId="0" fontId="10" fillId="0" borderId="0" xfId="0" applyFont="1" applyFill="1" applyBorder="1"/>
    <xf numFmtId="164" fontId="0" fillId="0" borderId="0" xfId="0" applyNumberFormat="1" applyFill="1" applyBorder="1"/>
    <xf numFmtId="0" fontId="4" fillId="0" borderId="0" xfId="0" applyFont="1" applyFill="1" applyBorder="1" applyAlignment="1">
      <alignment horizontal="right"/>
    </xf>
    <xf numFmtId="0" fontId="6" fillId="0" borderId="7" xfId="0" applyFont="1" applyBorder="1" applyAlignment="1">
      <alignment horizontal="center" vertical="center"/>
    </xf>
    <xf numFmtId="165" fontId="5" fillId="2" borderId="0" xfId="0" applyNumberFormat="1" applyFont="1" applyFill="1"/>
    <xf numFmtId="165" fontId="5" fillId="3" borderId="1" xfId="0" applyNumberFormat="1" applyFont="1" applyFill="1" applyBorder="1"/>
    <xf numFmtId="0" fontId="0" fillId="0" borderId="7" xfId="0" applyBorder="1"/>
    <xf numFmtId="0" fontId="12" fillId="0" borderId="7" xfId="0" applyFont="1" applyBorder="1"/>
    <xf numFmtId="0" fontId="17" fillId="4" borderId="0" xfId="0" applyFont="1" applyFill="1" applyAlignment="1">
      <alignment vertical="center"/>
    </xf>
    <xf numFmtId="0" fontId="13" fillId="2" borderId="2" xfId="0" applyFont="1" applyFill="1" applyBorder="1" applyAlignment="1">
      <alignment horizontal="right"/>
    </xf>
    <xf numFmtId="166" fontId="13" fillId="2" borderId="3" xfId="0" applyNumberFormat="1" applyFont="1" applyFill="1" applyBorder="1"/>
    <xf numFmtId="0" fontId="13" fillId="2" borderId="6" xfId="0" applyFont="1" applyFill="1" applyBorder="1" applyAlignment="1">
      <alignment horizontal="right"/>
    </xf>
    <xf numFmtId="166" fontId="13" fillId="2" borderId="8" xfId="0" applyNumberFormat="1" applyFont="1" applyFill="1" applyBorder="1"/>
    <xf numFmtId="0" fontId="0" fillId="2" borderId="0" xfId="0" applyFill="1" applyAlignment="1">
      <alignment horizontal="center"/>
    </xf>
    <xf numFmtId="0" fontId="18" fillId="0" borderId="0" xfId="0" applyFont="1" applyAlignment="1">
      <alignment horizontal="right"/>
    </xf>
    <xf numFmtId="4" fontId="0" fillId="0" borderId="0" xfId="0" applyNumberFormat="1"/>
    <xf numFmtId="3" fontId="4" fillId="0" borderId="0" xfId="0" applyNumberFormat="1" applyFont="1"/>
    <xf numFmtId="165" fontId="5" fillId="0" borderId="0" xfId="0" applyNumberFormat="1" applyFont="1" applyFill="1"/>
    <xf numFmtId="164" fontId="5" fillId="0" borderId="0" xfId="0" applyNumberFormat="1" applyFont="1"/>
    <xf numFmtId="0" fontId="4" fillId="3" borderId="0" xfId="0" applyFont="1" applyFill="1" applyAlignment="1">
      <alignment horizontal="center" vertical="center"/>
    </xf>
    <xf numFmtId="4" fontId="1" fillId="0" borderId="0" xfId="0" applyNumberFormat="1" applyFont="1"/>
    <xf numFmtId="0" fontId="0" fillId="5" borderId="4" xfId="0" applyFill="1" applyBorder="1"/>
    <xf numFmtId="4" fontId="0" fillId="5" borderId="5" xfId="0" applyNumberFormat="1" applyFill="1" applyBorder="1"/>
    <xf numFmtId="0" fontId="0" fillId="5" borderId="6" xfId="0" applyFill="1" applyBorder="1"/>
    <xf numFmtId="3" fontId="0" fillId="5" borderId="8" xfId="0" applyNumberFormat="1" applyFill="1" applyBorder="1"/>
    <xf numFmtId="0" fontId="19" fillId="5" borderId="2" xfId="0" applyFont="1" applyFill="1" applyBorder="1" applyAlignment="1">
      <alignment horizontal="center"/>
    </xf>
    <xf numFmtId="0" fontId="19" fillId="5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14" fontId="0" fillId="5" borderId="5" xfId="0" applyNumberFormat="1" applyFill="1" applyBorder="1"/>
    <xf numFmtId="10" fontId="19" fillId="0" borderId="0" xfId="0" applyNumberFormat="1" applyFont="1"/>
    <xf numFmtId="0" fontId="0" fillId="6" borderId="10" xfId="0" applyFill="1" applyBorder="1"/>
    <xf numFmtId="0" fontId="0" fillId="6" borderId="11" xfId="0" applyFill="1" applyBorder="1"/>
    <xf numFmtId="0" fontId="1" fillId="6" borderId="9" xfId="0" applyFont="1" applyFill="1" applyBorder="1"/>
    <xf numFmtId="14" fontId="5" fillId="0" borderId="0" xfId="0" applyNumberFormat="1" applyFont="1" applyAlignment="1"/>
    <xf numFmtId="4" fontId="20" fillId="0" borderId="1" xfId="0" applyNumberFormat="1" applyFont="1" applyBorder="1"/>
    <xf numFmtId="3" fontId="21" fillId="0" borderId="1" xfId="0" applyNumberFormat="1" applyFont="1" applyBorder="1"/>
    <xf numFmtId="0" fontId="22" fillId="3" borderId="0" xfId="0" applyFont="1" applyFill="1"/>
    <xf numFmtId="167" fontId="23" fillId="0" borderId="0" xfId="0" applyNumberFormat="1" applyFont="1" applyAlignment="1">
      <alignment horizontal="right" vertical="center"/>
    </xf>
    <xf numFmtId="0" fontId="12" fillId="2" borderId="0" xfId="0" applyFont="1" applyFill="1"/>
    <xf numFmtId="3" fontId="12" fillId="2" borderId="0" xfId="0" applyNumberFormat="1" applyFont="1" applyFill="1"/>
    <xf numFmtId="40" fontId="16" fillId="0" borderId="1" xfId="0" applyNumberFormat="1" applyFont="1" applyBorder="1" applyAlignment="1">
      <alignment vertical="center"/>
    </xf>
    <xf numFmtId="168" fontId="24" fillId="0" borderId="1" xfId="0" applyNumberFormat="1" applyFont="1" applyBorder="1" applyAlignment="1">
      <alignment horizontal="right" vertical="center"/>
    </xf>
    <xf numFmtId="0" fontId="14" fillId="0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2" fontId="15" fillId="7" borderId="0" xfId="0" applyNumberFormat="1" applyFont="1" applyFill="1" applyBorder="1" applyAlignment="1">
      <alignment horizontal="right" vertical="center" wrapText="1"/>
    </xf>
    <xf numFmtId="0" fontId="0" fillId="8" borderId="6" xfId="0" applyFill="1" applyBorder="1"/>
    <xf numFmtId="0" fontId="21" fillId="0" borderId="0" xfId="0" applyFont="1" applyAlignment="1">
      <alignment vertical="center"/>
    </xf>
    <xf numFmtId="0" fontId="14" fillId="2" borderId="0" xfId="0" applyFont="1" applyFill="1"/>
    <xf numFmtId="3" fontId="14" fillId="0" borderId="0" xfId="0" applyNumberFormat="1" applyFont="1" applyAlignment="1">
      <alignment vertical="center"/>
    </xf>
    <xf numFmtId="4" fontId="14" fillId="0" borderId="0" xfId="0" applyNumberFormat="1" applyFont="1" applyAlignment="1">
      <alignment vertical="center"/>
    </xf>
    <xf numFmtId="164" fontId="14" fillId="0" borderId="0" xfId="0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40" fontId="28" fillId="0" borderId="0" xfId="0" applyNumberFormat="1" applyFont="1" applyAlignment="1">
      <alignment vertical="center"/>
    </xf>
    <xf numFmtId="168" fontId="24" fillId="0" borderId="0" xfId="0" applyNumberFormat="1" applyFont="1" applyAlignment="1">
      <alignment horizontal="right" vertical="center"/>
    </xf>
    <xf numFmtId="0" fontId="21" fillId="0" borderId="0" xfId="0" applyFont="1"/>
    <xf numFmtId="0" fontId="14" fillId="0" borderId="0" xfId="0" applyFont="1"/>
    <xf numFmtId="0" fontId="14" fillId="7" borderId="0" xfId="0" applyFont="1" applyFill="1"/>
    <xf numFmtId="0" fontId="11" fillId="0" borderId="0" xfId="0" applyFont="1"/>
    <xf numFmtId="0" fontId="0" fillId="6" borderId="0" xfId="0" applyFill="1" applyAlignment="1">
      <alignment horizontal="center" vertical="center"/>
    </xf>
    <xf numFmtId="164" fontId="0" fillId="6" borderId="0" xfId="0" applyNumberFormat="1" applyFill="1"/>
    <xf numFmtId="164" fontId="0" fillId="2" borderId="8" xfId="0" applyNumberFormat="1" applyFill="1" applyBorder="1"/>
    <xf numFmtId="0" fontId="0" fillId="0" borderId="1" xfId="0" applyBorder="1" applyAlignment="1">
      <alignment vertical="top"/>
    </xf>
    <xf numFmtId="0" fontId="10" fillId="6" borderId="0" xfId="0" applyFont="1" applyFill="1"/>
    <xf numFmtId="165" fontId="5" fillId="6" borderId="0" xfId="0" applyNumberFormat="1" applyFont="1" applyFill="1" applyAlignment="1">
      <alignment horizontal="right"/>
    </xf>
    <xf numFmtId="0" fontId="12" fillId="6" borderId="0" xfId="0" applyFont="1" applyFill="1"/>
    <xf numFmtId="3" fontId="12" fillId="6" borderId="0" xfId="0" applyNumberFormat="1" applyFont="1" applyFill="1"/>
    <xf numFmtId="0" fontId="10" fillId="0" borderId="0" xfId="0" applyFont="1" applyAlignment="1">
      <alignment horizontal="right"/>
    </xf>
    <xf numFmtId="165" fontId="11" fillId="0" borderId="0" xfId="0" applyNumberFormat="1" applyFont="1" applyFill="1" applyAlignment="1">
      <alignment horizontal="right"/>
    </xf>
    <xf numFmtId="167" fontId="5" fillId="0" borderId="0" xfId="0" applyNumberFormat="1" applyFont="1"/>
    <xf numFmtId="4" fontId="29" fillId="0" borderId="0" xfId="0" applyNumberFormat="1" applyFont="1" applyAlignment="1">
      <alignment vertical="center"/>
    </xf>
    <xf numFmtId="4" fontId="28" fillId="0" borderId="0" xfId="0" applyNumberFormat="1" applyFont="1" applyAlignment="1">
      <alignment vertical="center"/>
    </xf>
    <xf numFmtId="0" fontId="11" fillId="0" borderId="1" xfId="0" applyFont="1" applyBorder="1"/>
    <xf numFmtId="0" fontId="30" fillId="0" borderId="0" xfId="0" applyFont="1" applyAlignment="1">
      <alignment horizontal="left"/>
    </xf>
    <xf numFmtId="2" fontId="31" fillId="0" borderId="0" xfId="0" applyNumberFormat="1" applyFont="1" applyBorder="1" applyAlignment="1">
      <alignment horizontal="left" vertical="center" wrapText="1"/>
    </xf>
    <xf numFmtId="4" fontId="5" fillId="0" borderId="0" xfId="0" applyNumberFormat="1" applyFont="1"/>
    <xf numFmtId="0" fontId="32" fillId="0" borderId="12" xfId="0" applyFont="1" applyBorder="1" applyAlignment="1">
      <alignment horizontal="left"/>
    </xf>
    <xf numFmtId="0" fontId="10" fillId="0" borderId="0" xfId="0" applyFont="1"/>
    <xf numFmtId="4" fontId="11" fillId="0" borderId="0" xfId="0" applyNumberFormat="1" applyFont="1"/>
    <xf numFmtId="0" fontId="10" fillId="7" borderId="0" xfId="0" applyFont="1" applyFill="1"/>
    <xf numFmtId="0" fontId="33" fillId="3" borderId="0" xfId="0" applyFont="1" applyFill="1" applyAlignment="1">
      <alignment horizontal="center" vertical="center"/>
    </xf>
    <xf numFmtId="0" fontId="34" fillId="0" borderId="0" xfId="0" applyFont="1"/>
    <xf numFmtId="3" fontId="35" fillId="0" borderId="0" xfId="0" applyNumberFormat="1" applyFont="1"/>
    <xf numFmtId="0" fontId="36" fillId="0" borderId="0" xfId="0" applyFont="1"/>
    <xf numFmtId="0" fontId="11" fillId="0" borderId="0" xfId="0" applyFont="1" applyFill="1"/>
    <xf numFmtId="4" fontId="11" fillId="0" borderId="1" xfId="0" applyNumberFormat="1" applyFont="1" applyBorder="1" applyAlignment="1">
      <alignment vertical="center"/>
    </xf>
    <xf numFmtId="4" fontId="11" fillId="5" borderId="0" xfId="0" applyNumberFormat="1" applyFont="1" applyFill="1" applyBorder="1" applyAlignment="1">
      <alignment vertical="center"/>
    </xf>
    <xf numFmtId="4" fontId="5" fillId="0" borderId="1" xfId="0" applyNumberFormat="1" applyFont="1" applyBorder="1" applyAlignment="1">
      <alignment vertical="center"/>
    </xf>
    <xf numFmtId="167" fontId="8" fillId="0" borderId="1" xfId="0" applyNumberFormat="1" applyFont="1" applyBorder="1" applyAlignment="1">
      <alignment horizontal="center" vertical="center"/>
    </xf>
    <xf numFmtId="3" fontId="25" fillId="8" borderId="3" xfId="0" applyNumberFormat="1" applyFont="1" applyFill="1" applyBorder="1" applyAlignment="1">
      <alignment vertical="center"/>
    </xf>
    <xf numFmtId="0" fontId="26" fillId="8" borderId="8" xfId="0" applyFont="1" applyFill="1" applyBorder="1" applyAlignment="1">
      <alignment horizontal="right" vertical="center"/>
    </xf>
    <xf numFmtId="3" fontId="27" fillId="8" borderId="2" xfId="0" applyNumberFormat="1" applyFont="1" applyFill="1" applyBorder="1" applyAlignment="1">
      <alignment vertical="center"/>
    </xf>
    <xf numFmtId="4" fontId="0" fillId="0" borderId="0" xfId="0" quotePrefix="1" applyNumberFormat="1"/>
    <xf numFmtId="168" fontId="37" fillId="7" borderId="0" xfId="0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left"/>
    </xf>
    <xf numFmtId="0" fontId="5" fillId="6" borderId="1" xfId="0" applyFont="1" applyFill="1" applyBorder="1"/>
    <xf numFmtId="0" fontId="14" fillId="6" borderId="4" xfId="0" applyFont="1" applyFill="1" applyBorder="1" applyAlignment="1">
      <alignment horizontal="right"/>
    </xf>
    <xf numFmtId="3" fontId="14" fillId="6" borderId="0" xfId="0" applyNumberFormat="1" applyFont="1" applyFill="1" applyBorder="1"/>
    <xf numFmtId="167" fontId="14" fillId="6" borderId="0" xfId="0" applyNumberFormat="1" applyFont="1" applyFill="1" applyBorder="1"/>
    <xf numFmtId="0" fontId="14" fillId="6" borderId="5" xfId="0" applyFont="1" applyFill="1" applyBorder="1"/>
    <xf numFmtId="0" fontId="14" fillId="6" borderId="6" xfId="0" applyFont="1" applyFill="1" applyBorder="1" applyAlignment="1">
      <alignment horizontal="right"/>
    </xf>
    <xf numFmtId="167" fontId="14" fillId="6" borderId="7" xfId="0" applyNumberFormat="1" applyFont="1" applyFill="1" applyBorder="1"/>
    <xf numFmtId="3" fontId="14" fillId="0" borderId="1" xfId="0" applyNumberFormat="1" applyFont="1" applyBorder="1"/>
    <xf numFmtId="167" fontId="14" fillId="0" borderId="0" xfId="0" applyNumberFormat="1" applyFont="1" applyBorder="1"/>
    <xf numFmtId="3" fontId="14" fillId="0" borderId="0" xfId="0" applyNumberFormat="1" applyFont="1" applyBorder="1"/>
    <xf numFmtId="0" fontId="13" fillId="9" borderId="2" xfId="0" applyFont="1" applyFill="1" applyBorder="1" applyAlignment="1">
      <alignment horizontal="left"/>
    </xf>
    <xf numFmtId="3" fontId="14" fillId="9" borderId="1" xfId="0" applyNumberFormat="1" applyFont="1" applyFill="1" applyBorder="1"/>
    <xf numFmtId="0" fontId="14" fillId="9" borderId="3" xfId="0" applyFont="1" applyFill="1" applyBorder="1"/>
    <xf numFmtId="0" fontId="14" fillId="9" borderId="4" xfId="0" applyFont="1" applyFill="1" applyBorder="1" applyAlignment="1">
      <alignment horizontal="right"/>
    </xf>
    <xf numFmtId="3" fontId="14" fillId="9" borderId="0" xfId="0" applyNumberFormat="1" applyFont="1" applyFill="1" applyBorder="1"/>
    <xf numFmtId="167" fontId="14" fillId="9" borderId="5" xfId="0" applyNumberFormat="1" applyFont="1" applyFill="1" applyBorder="1"/>
    <xf numFmtId="0" fontId="14" fillId="9" borderId="6" xfId="0" applyFont="1" applyFill="1" applyBorder="1" applyAlignment="1">
      <alignment horizontal="right"/>
    </xf>
    <xf numFmtId="3" fontId="14" fillId="9" borderId="7" xfId="0" applyNumberFormat="1" applyFont="1" applyFill="1" applyBorder="1"/>
    <xf numFmtId="167" fontId="14" fillId="0" borderId="1" xfId="0" applyNumberFormat="1" applyFont="1" applyBorder="1"/>
    <xf numFmtId="4" fontId="14" fillId="0" borderId="0" xfId="0" applyNumberFormat="1" applyFont="1" applyBorder="1"/>
    <xf numFmtId="0" fontId="13" fillId="0" borderId="0" xfId="0" applyFont="1"/>
    <xf numFmtId="0" fontId="13" fillId="8" borderId="2" xfId="0" applyFont="1" applyFill="1" applyBorder="1"/>
    <xf numFmtId="3" fontId="14" fillId="8" borderId="3" xfId="0" applyNumberFormat="1" applyFont="1" applyFill="1" applyBorder="1" applyAlignment="1">
      <alignment horizontal="right"/>
    </xf>
    <xf numFmtId="0" fontId="13" fillId="8" borderId="4" xfId="0" applyFont="1" applyFill="1" applyBorder="1"/>
    <xf numFmtId="3" fontId="14" fillId="8" borderId="5" xfId="0" applyNumberFormat="1" applyFont="1" applyFill="1" applyBorder="1" applyAlignment="1">
      <alignment horizontal="right"/>
    </xf>
    <xf numFmtId="0" fontId="13" fillId="8" borderId="6" xfId="0" applyFont="1" applyFill="1" applyBorder="1"/>
    <xf numFmtId="3" fontId="14" fillId="8" borderId="8" xfId="0" applyNumberFormat="1" applyFont="1" applyFill="1" applyBorder="1" applyAlignment="1">
      <alignment horizontal="right"/>
    </xf>
    <xf numFmtId="3" fontId="13" fillId="0" borderId="0" xfId="0" applyNumberFormat="1" applyFont="1" applyBorder="1" applyAlignment="1">
      <alignment horizontal="right"/>
    </xf>
    <xf numFmtId="170" fontId="37" fillId="7" borderId="0" xfId="0" applyNumberFormat="1" applyFont="1" applyFill="1" applyBorder="1" applyAlignment="1">
      <alignment horizontal="right" vertical="center"/>
    </xf>
    <xf numFmtId="0" fontId="11" fillId="6" borderId="1" xfId="0" applyFont="1" applyFill="1" applyBorder="1" applyAlignment="1">
      <alignment horizontal="right"/>
    </xf>
    <xf numFmtId="0" fontId="11" fillId="6" borderId="3" xfId="0" applyFont="1" applyFill="1" applyBorder="1" applyAlignment="1">
      <alignment horizontal="right"/>
    </xf>
    <xf numFmtId="0" fontId="0" fillId="10" borderId="2" xfId="0" applyFill="1" applyBorder="1" applyAlignment="1">
      <alignment vertical="center"/>
    </xf>
    <xf numFmtId="0" fontId="0" fillId="5" borderId="1" xfId="0" applyFill="1" applyBorder="1"/>
    <xf numFmtId="4" fontId="0" fillId="10" borderId="3" xfId="0" applyNumberFormat="1" applyFill="1" applyBorder="1"/>
    <xf numFmtId="0" fontId="0" fillId="5" borderId="0" xfId="0" applyFill="1" applyBorder="1"/>
    <xf numFmtId="0" fontId="0" fillId="10" borderId="6" xfId="0" applyFill="1" applyBorder="1"/>
    <xf numFmtId="0" fontId="0" fillId="5" borderId="7" xfId="0" applyFill="1" applyBorder="1"/>
    <xf numFmtId="4" fontId="0" fillId="10" borderId="8" xfId="0" applyNumberFormat="1" applyFill="1" applyBorder="1"/>
    <xf numFmtId="4" fontId="0" fillId="0" borderId="0" xfId="0" applyNumberFormat="1" applyBorder="1"/>
    <xf numFmtId="0" fontId="0" fillId="11" borderId="1" xfId="0" applyFill="1" applyBorder="1"/>
    <xf numFmtId="4" fontId="0" fillId="0" borderId="3" xfId="0" applyNumberFormat="1" applyBorder="1"/>
    <xf numFmtId="0" fontId="0" fillId="11" borderId="4" xfId="0" applyFill="1" applyBorder="1"/>
    <xf numFmtId="0" fontId="0" fillId="11" borderId="0" xfId="0" applyFill="1" applyBorder="1"/>
    <xf numFmtId="4" fontId="0" fillId="11" borderId="5" xfId="0" applyNumberFormat="1" applyFill="1" applyBorder="1"/>
    <xf numFmtId="0" fontId="0" fillId="11" borderId="7" xfId="0" applyFill="1" applyBorder="1"/>
    <xf numFmtId="4" fontId="0" fillId="0" borderId="8" xfId="0" applyNumberFormat="1" applyBorder="1"/>
    <xf numFmtId="0" fontId="0" fillId="12" borderId="2" xfId="0" applyFill="1" applyBorder="1"/>
    <xf numFmtId="0" fontId="0" fillId="13" borderId="1" xfId="0" applyFill="1" applyBorder="1"/>
    <xf numFmtId="4" fontId="0" fillId="12" borderId="3" xfId="0" applyNumberFormat="1" applyFill="1" applyBorder="1"/>
    <xf numFmtId="0" fontId="0" fillId="13" borderId="4" xfId="0" applyFill="1" applyBorder="1"/>
    <xf numFmtId="0" fontId="0" fillId="13" borderId="0" xfId="0" applyFill="1" applyBorder="1"/>
    <xf numFmtId="4" fontId="0" fillId="13" borderId="5" xfId="0" applyNumberFormat="1" applyFill="1" applyBorder="1"/>
    <xf numFmtId="0" fontId="0" fillId="12" borderId="6" xfId="0" applyFill="1" applyBorder="1"/>
    <xf numFmtId="0" fontId="0" fillId="13" borderId="7" xfId="0" applyFill="1" applyBorder="1"/>
    <xf numFmtId="4" fontId="0" fillId="12" borderId="8" xfId="0" applyNumberFormat="1" applyFill="1" applyBorder="1"/>
    <xf numFmtId="0" fontId="5" fillId="0" borderId="0" xfId="0" applyFont="1" applyAlignment="1">
      <alignment horizontal="right"/>
    </xf>
    <xf numFmtId="3" fontId="13" fillId="3" borderId="2" xfId="0" applyNumberFormat="1" applyFont="1" applyFill="1" applyBorder="1" applyAlignment="1">
      <alignment horizontal="right" vertical="center"/>
    </xf>
    <xf numFmtId="3" fontId="13" fillId="3" borderId="4" xfId="0" applyNumberFormat="1" applyFont="1" applyFill="1" applyBorder="1" applyAlignment="1">
      <alignment horizontal="right" vertical="center"/>
    </xf>
    <xf numFmtId="3" fontId="13" fillId="3" borderId="6" xfId="0" applyNumberFormat="1" applyFont="1" applyFill="1" applyBorder="1" applyAlignment="1">
      <alignment horizontal="right" vertical="center"/>
    </xf>
    <xf numFmtId="3" fontId="38" fillId="3" borderId="3" xfId="0" applyNumberFormat="1" applyFont="1" applyFill="1" applyBorder="1" applyAlignment="1">
      <alignment horizontal="right" vertical="center"/>
    </xf>
    <xf numFmtId="2" fontId="38" fillId="3" borderId="5" xfId="0" applyNumberFormat="1" applyFont="1" applyFill="1" applyBorder="1" applyAlignment="1">
      <alignment horizontal="right" vertical="center"/>
    </xf>
    <xf numFmtId="2" fontId="38" fillId="3" borderId="8" xfId="0" applyNumberFormat="1" applyFont="1" applyFill="1" applyBorder="1" applyAlignment="1">
      <alignment horizontal="right" vertical="center"/>
    </xf>
    <xf numFmtId="171" fontId="39" fillId="3" borderId="1" xfId="0" applyNumberFormat="1" applyFont="1" applyFill="1" applyBorder="1" applyAlignment="1">
      <alignment horizontal="center" vertical="center"/>
    </xf>
    <xf numFmtId="171" fontId="39" fillId="3" borderId="0" xfId="0" applyNumberFormat="1" applyFont="1" applyFill="1" applyBorder="1" applyAlignment="1">
      <alignment horizontal="center" vertical="center"/>
    </xf>
    <xf numFmtId="171" fontId="39" fillId="3" borderId="7" xfId="0" applyNumberFormat="1" applyFont="1" applyFill="1" applyBorder="1" applyAlignment="1">
      <alignment horizontal="center" vertical="center"/>
    </xf>
    <xf numFmtId="165" fontId="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0" fontId="12" fillId="0" borderId="0" xfId="0" applyFont="1" applyFill="1" applyBorder="1"/>
    <xf numFmtId="3" fontId="12" fillId="0" borderId="0" xfId="0" applyNumberFormat="1" applyFont="1" applyFill="1" applyBorder="1"/>
    <xf numFmtId="0" fontId="12" fillId="0" borderId="0" xfId="0" applyFont="1" applyBorder="1" applyAlignment="1">
      <alignment horizontal="right"/>
    </xf>
    <xf numFmtId="0" fontId="14" fillId="3" borderId="1" xfId="0" applyFont="1" applyFill="1" applyBorder="1" applyAlignment="1">
      <alignment horizontal="left" vertical="center"/>
    </xf>
    <xf numFmtId="166" fontId="40" fillId="9" borderId="2" xfId="0" applyNumberFormat="1" applyFont="1" applyFill="1" applyBorder="1"/>
    <xf numFmtId="2" fontId="0" fillId="9" borderId="1" xfId="0" applyNumberFormat="1" applyFill="1" applyBorder="1"/>
    <xf numFmtId="172" fontId="0" fillId="9" borderId="3" xfId="0" applyNumberFormat="1" applyFill="1" applyBorder="1"/>
    <xf numFmtId="166" fontId="40" fillId="9" borderId="6" xfId="0" applyNumberFormat="1" applyFont="1" applyFill="1" applyBorder="1"/>
    <xf numFmtId="2" fontId="0" fillId="9" borderId="7" xfId="0" applyNumberFormat="1" applyFill="1" applyBorder="1"/>
    <xf numFmtId="172" fontId="0" fillId="9" borderId="8" xfId="0" applyNumberFormat="1" applyFill="1" applyBorder="1"/>
    <xf numFmtId="0" fontId="13" fillId="2" borderId="4" xfId="0" applyFont="1" applyFill="1" applyBorder="1" applyAlignment="1">
      <alignment horizontal="right"/>
    </xf>
    <xf numFmtId="166" fontId="13" fillId="2" borderId="5" xfId="0" applyNumberFormat="1" applyFont="1" applyFill="1" applyBorder="1"/>
    <xf numFmtId="0" fontId="10" fillId="13" borderId="9" xfId="0" applyFont="1" applyFill="1" applyBorder="1"/>
    <xf numFmtId="0" fontId="0" fillId="13" borderId="10" xfId="0" applyFill="1" applyBorder="1" applyAlignment="1">
      <alignment horizontal="center"/>
    </xf>
    <xf numFmtId="0" fontId="12" fillId="13" borderId="10" xfId="0" applyFont="1" applyFill="1" applyBorder="1"/>
    <xf numFmtId="3" fontId="12" fillId="13" borderId="10" xfId="0" applyNumberFormat="1" applyFont="1" applyFill="1" applyBorder="1"/>
    <xf numFmtId="164" fontId="0" fillId="13" borderId="10" xfId="0" applyNumberFormat="1" applyFill="1" applyBorder="1"/>
    <xf numFmtId="0" fontId="13" fillId="13" borderId="10" xfId="0" applyFont="1" applyFill="1" applyBorder="1" applyAlignment="1">
      <alignment horizontal="right"/>
    </xf>
    <xf numFmtId="166" fontId="13" fillId="13" borderId="10" xfId="0" applyNumberFormat="1" applyFont="1" applyFill="1" applyBorder="1"/>
    <xf numFmtId="0" fontId="4" fillId="13" borderId="10" xfId="0" applyFont="1" applyFill="1" applyBorder="1" applyAlignment="1">
      <alignment horizontal="right"/>
    </xf>
    <xf numFmtId="3" fontId="14" fillId="13" borderId="10" xfId="0" applyNumberFormat="1" applyFont="1" applyFill="1" applyBorder="1"/>
    <xf numFmtId="166" fontId="4" fillId="13" borderId="10" xfId="0" applyNumberFormat="1" applyFont="1" applyFill="1" applyBorder="1"/>
    <xf numFmtId="166" fontId="14" fillId="13" borderId="11" xfId="0" applyNumberFormat="1" applyFont="1" applyFill="1" applyBorder="1"/>
    <xf numFmtId="1" fontId="41" fillId="13" borderId="10" xfId="0" quotePrefix="1" applyNumberFormat="1" applyFont="1" applyFill="1" applyBorder="1" applyAlignment="1">
      <alignment horizontal="center" vertical="center"/>
    </xf>
  </cellXfs>
  <cellStyles count="1"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409]d\-mmm\-yy;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409]d\-mmm\-yy;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707974512485183E-2"/>
          <c:y val="0.12364226517499632"/>
          <c:w val="0.59851056280441417"/>
          <c:h val="0.79254413153658898"/>
        </c:manualLayout>
      </c:layout>
      <c:pieChart>
        <c:varyColors val="1"/>
        <c:ser>
          <c:idx val="0"/>
          <c:order val="0"/>
          <c:explosion val="33"/>
          <c:dPt>
            <c:idx val="0"/>
            <c:bubble3D val="0"/>
          </c:dPt>
          <c:dPt>
            <c:idx val="1"/>
            <c:bubble3D val="0"/>
            <c:explosion val="29"/>
          </c:dPt>
          <c:dPt>
            <c:idx val="2"/>
            <c:bubble3D val="0"/>
          </c:dPt>
          <c:dPt>
            <c:idx val="3"/>
            <c:bubble3D val="0"/>
            <c:explosion val="24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  <c:explosion val="29"/>
          </c:dPt>
          <c:cat>
            <c:strRef>
              <c:f>Carteira!$B$4:$B$23</c:f>
              <c:strCache>
                <c:ptCount val="7"/>
                <c:pt idx="0">
                  <c:v>ITUB4</c:v>
                </c:pt>
                <c:pt idx="1">
                  <c:v>VALE3</c:v>
                </c:pt>
                <c:pt idx="2">
                  <c:v>XPBR31</c:v>
                </c:pt>
                <c:pt idx="3">
                  <c:v>AMZO34</c:v>
                </c:pt>
                <c:pt idx="4">
                  <c:v>BOVA11</c:v>
                </c:pt>
                <c:pt idx="5">
                  <c:v>KNCA11</c:v>
                </c:pt>
                <c:pt idx="6">
                  <c:v>PETR4</c:v>
                </c:pt>
              </c:strCache>
            </c:strRef>
          </c:cat>
          <c:val>
            <c:numRef>
              <c:f>Carteira!$K$4:$K$23</c:f>
              <c:numCache>
                <c:formatCode>0.0%</c:formatCode>
                <c:ptCount val="20"/>
                <c:pt idx="0">
                  <c:v>0.15790792780938748</c:v>
                </c:pt>
                <c:pt idx="1">
                  <c:v>0.27247160549165333</c:v>
                </c:pt>
                <c:pt idx="2">
                  <c:v>9.7118496615311939E-2</c:v>
                </c:pt>
                <c:pt idx="3">
                  <c:v>0.18085729364729358</c:v>
                </c:pt>
                <c:pt idx="4">
                  <c:v>0.10381798595999105</c:v>
                </c:pt>
                <c:pt idx="5">
                  <c:v>0.12868803273592205</c:v>
                </c:pt>
                <c:pt idx="6">
                  <c:v>5.9138657740440581E-2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yVal>
            <c:numRef>
              <c:f>Serie!$B$3:$B$18</c:f>
              <c:numCache>
                <c:formatCode>#,##0.00</c:formatCode>
                <c:ptCount val="16"/>
                <c:pt idx="0">
                  <c:v>87977.760000000009</c:v>
                </c:pt>
                <c:pt idx="1">
                  <c:v>87000.2</c:v>
                </c:pt>
                <c:pt idx="2">
                  <c:v>87129.4</c:v>
                </c:pt>
                <c:pt idx="3">
                  <c:v>82448.600000000006</c:v>
                </c:pt>
                <c:pt idx="4">
                  <c:v>86719.12</c:v>
                </c:pt>
                <c:pt idx="5">
                  <c:v>84356.72</c:v>
                </c:pt>
                <c:pt idx="6">
                  <c:v>84370.8</c:v>
                </c:pt>
                <c:pt idx="7">
                  <c:v>83709.16</c:v>
                </c:pt>
                <c:pt idx="8">
                  <c:v>84084.24</c:v>
                </c:pt>
                <c:pt idx="9">
                  <c:v>84455.22</c:v>
                </c:pt>
                <c:pt idx="10">
                  <c:v>84218.5</c:v>
                </c:pt>
                <c:pt idx="11">
                  <c:v>80789.099999999991</c:v>
                </c:pt>
                <c:pt idx="12">
                  <c:v>82824</c:v>
                </c:pt>
              </c:numCache>
            </c:numRef>
          </c:yVal>
          <c:smooth val="1"/>
        </c:ser>
        <c:ser>
          <c:idx val="2"/>
          <c:order val="1"/>
          <c:yVal>
            <c:numRef>
              <c:f>Serie!$C$3:$C$18</c:f>
              <c:numCache>
                <c:formatCode>#,##0</c:formatCode>
                <c:ptCount val="16"/>
                <c:pt idx="0">
                  <c:v>112377</c:v>
                </c:pt>
                <c:pt idx="1">
                  <c:v>111232</c:v>
                </c:pt>
                <c:pt idx="2">
                  <c:v>110182</c:v>
                </c:pt>
                <c:pt idx="3">
                  <c:v>109832</c:v>
                </c:pt>
                <c:pt idx="4">
                  <c:v>113480</c:v>
                </c:pt>
                <c:pt idx="5">
                  <c:v>111018</c:v>
                </c:pt>
                <c:pt idx="6">
                  <c:v>109944</c:v>
                </c:pt>
                <c:pt idx="7">
                  <c:v>109682</c:v>
                </c:pt>
                <c:pt idx="8">
                  <c:v>114517</c:v>
                </c:pt>
                <c:pt idx="9">
                  <c:v>116597</c:v>
                </c:pt>
                <c:pt idx="10">
                  <c:v>111393</c:v>
                </c:pt>
                <c:pt idx="11">
                  <c:v>107827</c:v>
                </c:pt>
                <c:pt idx="12">
                  <c:v>109711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35616"/>
        <c:axId val="217537536"/>
      </c:scatterChart>
      <c:valAx>
        <c:axId val="217535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7537536"/>
        <c:crosses val="autoZero"/>
        <c:crossBetween val="midCat"/>
      </c:valAx>
      <c:valAx>
        <c:axId val="217537536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7535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22859</xdr:colOff>
      <xdr:row>26</xdr:row>
      <xdr:rowOff>54250</xdr:rowOff>
    </xdr:from>
    <xdr:to>
      <xdr:col>15</xdr:col>
      <xdr:colOff>263550</xdr:colOff>
      <xdr:row>37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431109</xdr:colOff>
      <xdr:row>7</xdr:row>
      <xdr:rowOff>85807</xdr:rowOff>
    </xdr:from>
    <xdr:to>
      <xdr:col>11</xdr:col>
      <xdr:colOff>85725</xdr:colOff>
      <xdr:row>19</xdr:row>
      <xdr:rowOff>47624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nassau" ddeTopic="val">
    <ddeItems>
      <ddeItem name="AMZO34" advise="1">
        <values>
          <value>
            <val>23.6</val>
          </value>
        </values>
      </ddeItem>
      <ddeItem name="AMZO34.nome" advise="1">
        <values>
          <value t="str">
            <val>Amazon BDR</val>
          </value>
        </values>
      </ddeItem>
      <ddeItem name="AMZO34.pl" advise="1"/>
      <ddeItem name="AMZO34.var" advise="1">
        <values>
          <value>
            <val>6.0000000000000001E-3</val>
          </value>
        </values>
      </ddeItem>
      <ddeItem name="atwood" advise="1">
        <values>
          <value t="str">
            <val>72.316 K</val>
          </value>
        </values>
      </ddeItem>
      <ddeItem name="BOVA11" advise="1">
        <values>
          <value>
            <val>107.7</val>
          </value>
        </values>
      </ddeItem>
      <ddeItem name="BOVA11.nome" advise="1">
        <values>
          <value t="str">
            <val>Ishares Ibovespa Fundo de</val>
          </value>
        </values>
      </ddeItem>
      <ddeItem name="BOVA11.PL" advise="1">
        <values>
          <value t="str">
            <val>-</val>
          </value>
        </values>
      </ddeItem>
      <ddeItem name="BOVA11.var" advise="1">
        <values>
          <value>
            <val>4.8999999999999998E-3</val>
          </value>
        </values>
      </ddeItem>
      <ddeItem name="euscom" advise="1">
        <values>
          <value>
            <val>5.1970000000000001</val>
          </value>
        </values>
      </ddeItem>
      <ddeItem name="euscom.var" advise="1">
        <values>
          <value>
            <val>-1.1999999999999999E-3</val>
          </value>
        </values>
      </ddeItem>
      <ddeItem name="ibov" advise="1">
        <values>
          <value>
            <val>110791</val>
          </value>
        </values>
      </ddeItem>
      <ddeItem name="ibov.var" advise="1">
        <values>
          <value>
            <val>-2.0000000000000001E-4</val>
          </value>
        </values>
      </ddeItem>
      <ddeItem name="ITUB4" advise="1">
        <values>
          <value>
            <val>26.21</val>
          </value>
        </values>
      </ddeItem>
      <ddeItem name="ITUB4.nome" advise="1">
        <values>
          <value t="str">
            <val>Itau Unibanco Holding SA</val>
          </value>
        </values>
      </ddeItem>
      <ddeItem name="ITUB4.PL" advise="1">
        <values>
          <value>
            <val>9</val>
          </value>
        </values>
      </ddeItem>
      <ddeItem name="ITUB4.var" advise="1">
        <values>
          <value>
            <val>1.2E-2</val>
          </value>
        </values>
      </ddeItem>
      <ddeItem name="KNCA11" advise="1">
        <values>
          <value>
            <val>106.8</val>
          </value>
        </values>
      </ddeItem>
      <ddeItem name="KNCA11.nome" advise="1">
        <values>
          <value t="str">
            <val>Kinea Credito Agro FIAGRO</val>
          </value>
        </values>
      </ddeItem>
      <ddeItem name="KNCA11.pl" advise="1"/>
      <ddeItem name="KNCA11.var" advise="1">
        <values>
          <value>
            <val>1.8E-3</val>
          </value>
        </values>
      </ddeItem>
      <ddeItem name="PETR4" advise="1">
        <values>
          <value>
            <val>24.54</val>
          </value>
        </values>
      </ddeItem>
      <ddeItem name="petr4.nome" advise="1">
        <values>
          <value t="str">
            <val>Petroleo Brasileiro SA Pe</val>
          </value>
        </values>
      </ddeItem>
      <ddeItem name="petr4.pl" advise="1">
        <values>
          <value>
            <val>1.8</val>
          </value>
        </values>
      </ddeItem>
      <ddeItem name="PETR4.var" advise="1">
        <values>
          <value>
            <val>1.8700000000000001E-2</val>
          </value>
        </values>
      </ddeItem>
      <ddeItem name="StdDocumentName" ole="1" advise="1"/>
      <ddeItem name="vale3" advise="1">
        <values>
          <value>
            <val>94.22</val>
          </value>
        </values>
      </ddeItem>
      <ddeItem name="vale3.nome" advise="1">
        <values>
          <value t="str">
            <val>Vale SA</val>
          </value>
        </values>
      </ddeItem>
      <ddeItem name="VALE3.PL" advise="1">
        <values>
          <value>
            <val>4.2</val>
          </value>
        </values>
      </ddeItem>
      <ddeItem name="VALE3.var" advise="1">
        <values>
          <value>
            <val>6.7999999999999996E-3</val>
          </value>
        </values>
      </ddeItem>
      <ddeItem name="xpbr31" advise="1">
        <values>
          <value>
            <val>80.599999999999994</val>
          </value>
        </values>
      </ddeItem>
      <ddeItem name="xpbr31.nome" advise="1">
        <values>
          <value t="str">
            <val>XP Inc Bdr</val>
          </value>
        </values>
      </ddeItem>
      <ddeItem name="XPBR31.pl" advise="1"/>
      <ddeItem name="XPBR31.var" advise="1">
        <values>
          <value>
            <val>-5.7999999999999996E-3</val>
          </value>
        </values>
      </ddeItem>
    </ddeItems>
  </ddeLink>
</externalLink>
</file>

<file path=xl/tables/table1.xml><?xml version="1.0" encoding="utf-8"?>
<table xmlns="http://schemas.openxmlformats.org/spreadsheetml/2006/main" id="1" name="Tabela1" displayName="Tabela1" ref="A3:P23" totalsRowShown="0" headerRowDxfId="38">
  <autoFilter ref="A3:P23"/>
  <sortState ref="A4:P23">
    <sortCondition ref="A3:A23"/>
  </sortState>
  <tableColumns count="16">
    <tableColumn id="1" name="Num" dataDxfId="37"/>
    <tableColumn id="2" name="Ativo" dataDxfId="36"/>
    <tableColumn id="3" name="Qde"/>
    <tableColumn id="4" name="Valor Hist"/>
    <tableColumn id="5" name="PrMed"/>
    <tableColumn id="6" name="cont negs" dataDxfId="35"/>
    <tableColumn id="7" name="tipo" dataDxfId="34"/>
    <tableColumn id="16" name="Moeda" dataDxfId="33"/>
    <tableColumn id="8" name="cotação" dataDxfId="32"/>
    <tableColumn id="9" name="valor atu"/>
    <tableColumn id="10" name="part%"/>
    <tableColumn id="11" name="Lucro$"/>
    <tableColumn id="12" name="Valoriz"/>
    <tableColumn id="13" name="Descr" dataDxfId="31"/>
    <tableColumn id="14" name="var" dataDxfId="30"/>
    <tableColumn id="15" name="PL" dataDxfId="29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K2:S13" totalsRowCount="1" headerRowDxfId="28" dataDxfId="26" headerRowBorderDxfId="27" tableBorderDxfId="25">
  <autoFilter ref="K2:S12"/>
  <sortState ref="K3:S12">
    <sortCondition descending="1" ref="M2:M12"/>
  </sortState>
  <tableColumns count="9">
    <tableColumn id="1" name="Num" dataDxfId="24" totalsRowDxfId="23"/>
    <tableColumn id="2" name="Ativo" dataDxfId="22" totalsRowDxfId="21"/>
    <tableColumn id="3" name="rendimento" totalsRowFunction="custom" dataDxfId="20" totalsRowDxfId="19">
      <totalsRowFormula>SUM(Tabela2[rendimento])</totalsRowFormula>
    </tableColumn>
    <tableColumn id="4" name="num ev" dataDxfId="18" totalsRowDxfId="17"/>
    <tableColumn id="5" name="med p/ ev" dataDxfId="16" totalsRowDxfId="15"/>
    <tableColumn id="6" name="quant" dataDxfId="14" totalsRowDxfId="13"/>
    <tableColumn id="7" name="cot" dataDxfId="12" totalsRowDxfId="11"/>
    <tableColumn id="8" name="valor" dataDxfId="10" totalsRowDxfId="9"/>
    <tableColumn id="9" name="yield" dataDxfId="8" totalsRowDxfId="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2:G23" totalsRowCount="1" headerRowDxfId="6">
  <autoFilter ref="A2:G22"/>
  <sortState ref="A3:G22">
    <sortCondition ref="A2:A23"/>
  </sortState>
  <tableColumns count="7">
    <tableColumn id="1" name="data"/>
    <tableColumn id="2" name="papel" dataDxfId="5" totalsRowDxfId="4"/>
    <tableColumn id="3" name="qde"/>
    <tableColumn id="4" name="valor rend" totalsRowFunction="custom" dataDxfId="3" totalsRowDxfId="2">
      <totalsRowFormula>SUM(D3:D22)</totalsRowFormula>
    </tableColumn>
    <tableColumn id="5" name="tipo"/>
    <tableColumn id="6" name="$/ação"/>
    <tableColumn id="7" name="yield" dataDxfId="1" totalsRow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Q129"/>
  <sheetViews>
    <sheetView tabSelected="1" workbookViewId="0">
      <pane ySplit="10" topLeftCell="A11" activePane="bottomLeft" state="frozen"/>
      <selection activeCell="E4" sqref="E4"/>
      <selection pane="bottomLeft" activeCell="A7" sqref="A7"/>
    </sheetView>
  </sheetViews>
  <sheetFormatPr defaultRowHeight="15" x14ac:dyDescent="0.25"/>
  <cols>
    <col min="1" max="1" width="4.7109375" customWidth="1"/>
    <col min="2" max="2" width="12" customWidth="1"/>
    <col min="3" max="3" width="5.28515625" customWidth="1"/>
    <col min="4" max="4" width="10.5703125" customWidth="1"/>
    <col min="5" max="5" width="7.140625" customWidth="1"/>
    <col min="6" max="6" width="9.42578125" customWidth="1"/>
    <col min="7" max="7" width="11" customWidth="1"/>
    <col min="8" max="8" width="9.28515625" customWidth="1"/>
    <col min="9" max="9" width="11" customWidth="1"/>
    <col min="10" max="10" width="6.85546875" customWidth="1"/>
    <col min="11" max="11" width="9" customWidth="1"/>
    <col min="12" max="12" width="10.85546875" customWidth="1"/>
    <col min="13" max="13" width="7.42578125" customWidth="1"/>
    <col min="14" max="14" width="10.42578125" customWidth="1"/>
    <col min="15" max="15" width="9.7109375" customWidth="1"/>
    <col min="16" max="16" width="7.7109375" customWidth="1"/>
    <col min="17" max="17" width="8.85546875" customWidth="1"/>
  </cols>
  <sheetData>
    <row r="1" spans="1:17" ht="18.75" x14ac:dyDescent="0.25">
      <c r="A1" s="2" t="s">
        <v>20</v>
      </c>
      <c r="G1" s="57" t="s">
        <v>74</v>
      </c>
    </row>
    <row r="2" spans="1:17" ht="15" customHeight="1" x14ac:dyDescent="0.25">
      <c r="A2" s="12"/>
      <c r="B2" s="36"/>
      <c r="C2" s="37" t="s">
        <v>28</v>
      </c>
      <c r="D2" s="38">
        <v>88000</v>
      </c>
      <c r="E2" s="39"/>
      <c r="F2" s="37" t="s">
        <v>40</v>
      </c>
      <c r="G2" s="40">
        <f>I2+I3</f>
        <v>83195.399999999994</v>
      </c>
      <c r="H2" s="37" t="s">
        <v>39</v>
      </c>
      <c r="I2" s="40">
        <f>Carteira!J24</f>
        <v>82991.399999999994</v>
      </c>
      <c r="J2" s="37" t="s">
        <v>36</v>
      </c>
      <c r="K2" s="41">
        <f>SUM(I11:I1010)</f>
        <v>0</v>
      </c>
    </row>
    <row r="3" spans="1:17" ht="15" customHeight="1" x14ac:dyDescent="0.25">
      <c r="A3" s="5"/>
      <c r="B3" s="42"/>
      <c r="C3" s="43" t="s">
        <v>29</v>
      </c>
      <c r="D3" s="44">
        <v>88000</v>
      </c>
      <c r="E3" s="45">
        <f>D2/D3</f>
        <v>1</v>
      </c>
      <c r="F3" s="43" t="s">
        <v>32</v>
      </c>
      <c r="G3" s="45">
        <f>G2/D3</f>
        <v>0.94540227272727262</v>
      </c>
      <c r="H3" s="43" t="s">
        <v>30</v>
      </c>
      <c r="I3" s="46">
        <v>204</v>
      </c>
      <c r="J3" s="43" t="s">
        <v>8</v>
      </c>
      <c r="K3" s="47">
        <f>SUM(J11:J1010)</f>
        <v>0</v>
      </c>
    </row>
    <row r="4" spans="1:17" ht="2.25" customHeight="1" x14ac:dyDescent="0.25">
      <c r="B4" s="1"/>
      <c r="C4" s="1"/>
      <c r="D4" s="1"/>
      <c r="E4" s="1"/>
    </row>
    <row r="5" spans="1:17" ht="2.25" customHeight="1" x14ac:dyDescent="0.25">
      <c r="B5" s="1"/>
      <c r="C5" s="1"/>
      <c r="D5" s="1"/>
      <c r="E5" s="1"/>
    </row>
    <row r="6" spans="1:17" ht="15" customHeight="1" x14ac:dyDescent="0.25">
      <c r="A6" s="134" t="s">
        <v>106</v>
      </c>
      <c r="B6" s="133"/>
      <c r="C6" s="133"/>
      <c r="D6" s="133"/>
      <c r="E6" s="1"/>
    </row>
    <row r="7" spans="1:17" ht="13.5" customHeight="1" x14ac:dyDescent="0.25">
      <c r="A7" s="132" t="s">
        <v>99</v>
      </c>
      <c r="B7" s="133"/>
      <c r="C7" s="133"/>
      <c r="D7" s="133"/>
      <c r="E7" s="1"/>
    </row>
    <row r="8" spans="1:17" ht="13.5" customHeight="1" x14ac:dyDescent="0.25">
      <c r="A8" s="132" t="s">
        <v>105</v>
      </c>
      <c r="B8" s="133"/>
      <c r="C8" s="133"/>
      <c r="D8" s="133"/>
      <c r="E8" s="1"/>
    </row>
    <row r="9" spans="1:17" x14ac:dyDescent="0.25">
      <c r="A9" s="132" t="s">
        <v>33</v>
      </c>
      <c r="B9" s="133"/>
      <c r="C9" s="133"/>
      <c r="D9" s="133"/>
      <c r="E9" s="1"/>
      <c r="M9" s="21" t="s">
        <v>37</v>
      </c>
    </row>
    <row r="10" spans="1:17" x14ac:dyDescent="0.25">
      <c r="A10" s="8"/>
      <c r="B10" s="8" t="s">
        <v>2</v>
      </c>
      <c r="C10" s="9" t="s">
        <v>1</v>
      </c>
      <c r="D10" s="8" t="s">
        <v>5</v>
      </c>
      <c r="E10" s="8" t="s">
        <v>0</v>
      </c>
      <c r="F10" s="8" t="s">
        <v>9</v>
      </c>
      <c r="G10" s="11" t="s">
        <v>44</v>
      </c>
      <c r="H10" s="7"/>
      <c r="I10" s="7" t="s">
        <v>4</v>
      </c>
      <c r="J10" s="7" t="s">
        <v>8</v>
      </c>
      <c r="K10" s="91" t="s">
        <v>62</v>
      </c>
      <c r="L10" s="92" t="s">
        <v>35</v>
      </c>
      <c r="M10" s="93" t="s">
        <v>27</v>
      </c>
      <c r="N10" s="92" t="s">
        <v>26</v>
      </c>
      <c r="O10" s="92" t="s">
        <v>103</v>
      </c>
      <c r="P10" s="92" t="s">
        <v>104</v>
      </c>
      <c r="Q10" s="92" t="s">
        <v>101</v>
      </c>
    </row>
    <row r="11" spans="1:17" ht="12" customHeight="1" x14ac:dyDescent="0.25">
      <c r="A11" s="15" t="s">
        <v>19</v>
      </c>
      <c r="B11" s="54"/>
      <c r="C11" s="16"/>
      <c r="D11" s="15"/>
      <c r="E11" s="15"/>
      <c r="F11" s="15"/>
      <c r="G11" s="17">
        <f>SUM(L12:L14)</f>
        <v>-25990.197</v>
      </c>
      <c r="H11" s="17"/>
      <c r="I11" s="18">
        <v>0</v>
      </c>
      <c r="J11" s="18">
        <v>0</v>
      </c>
      <c r="K11" s="22"/>
      <c r="L11" s="32"/>
      <c r="M11" s="27"/>
      <c r="N11" s="24"/>
      <c r="O11" s="24"/>
    </row>
    <row r="12" spans="1:17" ht="12" customHeight="1" x14ac:dyDescent="0.25">
      <c r="A12" s="14">
        <v>1</v>
      </c>
      <c r="B12" s="53">
        <v>42005</v>
      </c>
      <c r="C12" s="62" t="s">
        <v>3</v>
      </c>
      <c r="D12" s="87" t="s">
        <v>56</v>
      </c>
      <c r="E12" s="88">
        <v>438</v>
      </c>
      <c r="F12" s="13">
        <v>32.161000000000001</v>
      </c>
      <c r="G12" s="10"/>
      <c r="H12" s="10"/>
      <c r="I12" s="10"/>
      <c r="J12" s="10"/>
      <c r="K12" s="23">
        <f>E12*IF(C12="C",1,-1)</f>
        <v>438</v>
      </c>
      <c r="L12" s="33">
        <f>-K12*F12</f>
        <v>-14086.518</v>
      </c>
      <c r="M12" s="23">
        <f>IF(C12="C",E12,0)</f>
        <v>438</v>
      </c>
      <c r="N12" s="24">
        <f>M12*F12</f>
        <v>14086.518</v>
      </c>
      <c r="O12" s="24"/>
    </row>
    <row r="13" spans="1:17" ht="12" customHeight="1" x14ac:dyDescent="0.25">
      <c r="A13" s="14">
        <v>2</v>
      </c>
      <c r="B13" s="53">
        <v>42005</v>
      </c>
      <c r="C13" s="62" t="s">
        <v>3</v>
      </c>
      <c r="D13" s="87" t="s">
        <v>47</v>
      </c>
      <c r="E13" s="88">
        <v>140</v>
      </c>
      <c r="F13" s="13">
        <v>77.521500000000003</v>
      </c>
      <c r="G13" s="58" t="s">
        <v>45</v>
      </c>
      <c r="H13" s="59">
        <f>-SUMIF(L12:L14,"&lt;0")</f>
        <v>25990.197</v>
      </c>
      <c r="I13" s="10"/>
      <c r="J13" s="10"/>
      <c r="K13" s="23">
        <f>E13*IF(C13="C",1,-1)</f>
        <v>140</v>
      </c>
      <c r="L13" s="33">
        <f>-K13*F13</f>
        <v>-10853.01</v>
      </c>
      <c r="M13" s="23">
        <f>IF(C13="C",E13,0)</f>
        <v>140</v>
      </c>
      <c r="N13" s="24">
        <f>M13*F13</f>
        <v>10853.01</v>
      </c>
      <c r="O13" s="24"/>
    </row>
    <row r="14" spans="1:17" ht="12" customHeight="1" x14ac:dyDescent="0.25">
      <c r="A14" s="14">
        <v>3</v>
      </c>
      <c r="B14" s="53">
        <v>42005</v>
      </c>
      <c r="C14" s="62" t="s">
        <v>3</v>
      </c>
      <c r="D14" s="87" t="s">
        <v>57</v>
      </c>
      <c r="E14" s="88">
        <v>10</v>
      </c>
      <c r="F14" s="13">
        <v>105.0669</v>
      </c>
      <c r="G14" s="60" t="s">
        <v>46</v>
      </c>
      <c r="H14" s="61">
        <f>SUMIF(L12:L14,"&gt;0")</f>
        <v>0</v>
      </c>
      <c r="I14" s="10"/>
      <c r="J14" s="10"/>
      <c r="K14" s="23">
        <f>E14*IF(C14="C",1,-1)</f>
        <v>10</v>
      </c>
      <c r="L14" s="33">
        <f>-K14*F14</f>
        <v>-1050.6690000000001</v>
      </c>
      <c r="M14" s="23">
        <f>IF(C14="C",E14,0)</f>
        <v>10</v>
      </c>
      <c r="N14" s="24">
        <f>M14*F14</f>
        <v>1050.6690000000001</v>
      </c>
      <c r="O14" s="24"/>
    </row>
    <row r="15" spans="1:17" ht="12" customHeight="1" x14ac:dyDescent="0.25">
      <c r="A15" s="225"/>
      <c r="B15" s="236">
        <v>2022</v>
      </c>
      <c r="C15" s="226"/>
      <c r="D15" s="227"/>
      <c r="E15" s="228"/>
      <c r="F15" s="229"/>
      <c r="G15" s="230"/>
      <c r="H15" s="231"/>
      <c r="I15" s="232"/>
      <c r="J15" s="232"/>
      <c r="K15" s="233"/>
      <c r="L15" s="234"/>
      <c r="M15" s="233"/>
      <c r="N15" s="235"/>
      <c r="O15" s="24"/>
    </row>
    <row r="16" spans="1:17" ht="12" customHeight="1" x14ac:dyDescent="0.25">
      <c r="A16" s="15" t="s">
        <v>19</v>
      </c>
      <c r="B16" s="54"/>
      <c r="C16" s="16"/>
      <c r="D16" s="15"/>
      <c r="E16" s="15"/>
      <c r="F16" s="15"/>
      <c r="G16" s="17">
        <f>SUM(L17:L20)</f>
        <v>-4847.5</v>
      </c>
      <c r="H16" s="17"/>
      <c r="I16" s="18">
        <v>0</v>
      </c>
      <c r="J16" s="18">
        <v>0</v>
      </c>
      <c r="K16" s="22"/>
      <c r="L16" s="32"/>
      <c r="M16" s="27"/>
      <c r="N16" s="24"/>
      <c r="O16" s="24"/>
    </row>
    <row r="17" spans="1:16" ht="12" customHeight="1" x14ac:dyDescent="0.25">
      <c r="A17" s="14">
        <v>1</v>
      </c>
      <c r="B17" s="53">
        <v>44713</v>
      </c>
      <c r="C17" s="62" t="s">
        <v>3</v>
      </c>
      <c r="D17" s="87" t="s">
        <v>58</v>
      </c>
      <c r="E17" s="88">
        <v>1000</v>
      </c>
      <c r="F17" s="13">
        <v>3.77</v>
      </c>
      <c r="G17" s="10"/>
      <c r="H17" s="10"/>
      <c r="I17" s="10"/>
      <c r="J17" s="10"/>
      <c r="K17" s="23">
        <f>E17*IF(C17="C",1,-1)</f>
        <v>1000</v>
      </c>
      <c r="L17" s="33">
        <f>-K17*F17</f>
        <v>-3770</v>
      </c>
      <c r="M17" s="23">
        <f>IF(C17="C",E17,0)</f>
        <v>1000</v>
      </c>
      <c r="N17" s="24">
        <f>M17*F17</f>
        <v>3770</v>
      </c>
      <c r="O17" s="24"/>
    </row>
    <row r="18" spans="1:16" ht="12" customHeight="1" x14ac:dyDescent="0.25">
      <c r="A18" s="14">
        <v>2</v>
      </c>
      <c r="B18" s="53">
        <v>44713</v>
      </c>
      <c r="C18" s="62" t="s">
        <v>3</v>
      </c>
      <c r="D18" s="87" t="s">
        <v>59</v>
      </c>
      <c r="E18" s="88">
        <v>10</v>
      </c>
      <c r="F18" s="13">
        <v>107.75</v>
      </c>
      <c r="G18" s="58" t="s">
        <v>45</v>
      </c>
      <c r="H18" s="59">
        <f>-SUMIF(L17:L19,"&lt;0")</f>
        <v>4847.5</v>
      </c>
      <c r="I18" s="10"/>
      <c r="J18" s="10"/>
      <c r="K18" s="23">
        <f>E18*IF(C18="C",1,-1)</f>
        <v>10</v>
      </c>
      <c r="L18" s="33">
        <f>-K18*F18</f>
        <v>-1077.5</v>
      </c>
      <c r="M18" s="23">
        <f>IF(C18="C",E18,0)</f>
        <v>10</v>
      </c>
      <c r="N18" s="24">
        <f>M18*F18</f>
        <v>1077.5</v>
      </c>
      <c r="O18" s="24"/>
    </row>
    <row r="19" spans="1:16" ht="12" customHeight="1" x14ac:dyDescent="0.25">
      <c r="A19" s="14">
        <v>3</v>
      </c>
      <c r="B19" s="53"/>
      <c r="C19" s="62"/>
      <c r="D19" s="87"/>
      <c r="E19" s="88"/>
      <c r="F19" s="13"/>
      <c r="G19" s="60" t="s">
        <v>46</v>
      </c>
      <c r="H19" s="61">
        <f>SUMIF(L17:L19,"&gt;0")</f>
        <v>0</v>
      </c>
      <c r="I19" s="10"/>
      <c r="J19" s="10"/>
      <c r="K19" s="23"/>
      <c r="L19" s="33"/>
      <c r="M19" s="23"/>
      <c r="N19" s="24"/>
      <c r="O19" s="24"/>
    </row>
    <row r="20" spans="1:16" ht="12" customHeight="1" x14ac:dyDescent="0.25">
      <c r="A20" s="15" t="s">
        <v>19</v>
      </c>
      <c r="B20" s="54"/>
      <c r="C20" s="16"/>
      <c r="D20" s="15"/>
      <c r="E20" s="15"/>
      <c r="F20" s="15"/>
      <c r="G20" s="17">
        <f>SUM(L21:L25)</f>
        <v>-43175.200000000004</v>
      </c>
      <c r="H20" s="17"/>
      <c r="I20" s="18">
        <v>0</v>
      </c>
      <c r="J20" s="18">
        <v>0</v>
      </c>
      <c r="K20" s="22"/>
      <c r="L20" s="32"/>
      <c r="M20" s="32"/>
      <c r="N20" s="32"/>
      <c r="O20" s="215"/>
    </row>
    <row r="21" spans="1:16" ht="12" customHeight="1" x14ac:dyDescent="0.25">
      <c r="A21" s="14">
        <v>1</v>
      </c>
      <c r="B21" s="53">
        <v>44714</v>
      </c>
      <c r="C21" s="62" t="s">
        <v>3</v>
      </c>
      <c r="D21" s="87" t="s">
        <v>60</v>
      </c>
      <c r="E21" s="88">
        <v>100</v>
      </c>
      <c r="F21" s="13">
        <v>107.01</v>
      </c>
      <c r="G21" s="10"/>
      <c r="H21" s="10"/>
      <c r="I21" s="10"/>
      <c r="J21" s="10"/>
      <c r="K21" s="23">
        <f>E21*IF(C21="C",1,-1)</f>
        <v>100</v>
      </c>
      <c r="L21" s="33">
        <f>-K21*F21</f>
        <v>-10701</v>
      </c>
      <c r="M21" s="23">
        <f>IF(C21="C",E21,0)</f>
        <v>100</v>
      </c>
      <c r="N21" s="24">
        <f>M21*F21</f>
        <v>10701</v>
      </c>
      <c r="O21" s="24"/>
    </row>
    <row r="22" spans="1:16" ht="12" customHeight="1" x14ac:dyDescent="0.25">
      <c r="A22" s="14">
        <v>2</v>
      </c>
      <c r="B22" s="53">
        <v>44714</v>
      </c>
      <c r="C22" s="62" t="s">
        <v>3</v>
      </c>
      <c r="D22" s="87" t="s">
        <v>47</v>
      </c>
      <c r="E22" s="88">
        <v>100</v>
      </c>
      <c r="F22" s="13">
        <v>89.92</v>
      </c>
      <c r="G22" s="58" t="s">
        <v>45</v>
      </c>
      <c r="H22" s="59">
        <f>-SUMIF(L21:L25,"&lt;0")</f>
        <v>43175.200000000004</v>
      </c>
      <c r="I22" s="10"/>
      <c r="J22" s="10"/>
      <c r="K22" s="23">
        <f>E22*IF(C22="C",1,-1)</f>
        <v>100</v>
      </c>
      <c r="L22" s="33">
        <f>-K22*F22</f>
        <v>-8992</v>
      </c>
      <c r="M22" s="23">
        <f>IF(C22="C",E22,0)</f>
        <v>100</v>
      </c>
      <c r="N22" s="24">
        <f>M22*F22</f>
        <v>8992</v>
      </c>
      <c r="O22" s="24"/>
    </row>
    <row r="23" spans="1:16" ht="12" customHeight="1" x14ac:dyDescent="0.25">
      <c r="A23" s="14">
        <v>3</v>
      </c>
      <c r="B23" s="53">
        <v>44714</v>
      </c>
      <c r="C23" s="62" t="s">
        <v>3</v>
      </c>
      <c r="D23" s="87" t="s">
        <v>57</v>
      </c>
      <c r="E23" s="88">
        <v>90</v>
      </c>
      <c r="F23" s="13">
        <v>110.17</v>
      </c>
      <c r="G23" s="60" t="s">
        <v>46</v>
      </c>
      <c r="H23" s="61">
        <f>SUMIF(L21:L25,"&gt;0")</f>
        <v>0</v>
      </c>
      <c r="I23" s="10"/>
      <c r="J23" s="10"/>
      <c r="K23" s="23">
        <f>E23*IF(C23="C",1,-1)</f>
        <v>90</v>
      </c>
      <c r="L23" s="33">
        <f>-K23*F23</f>
        <v>-9915.2999999999993</v>
      </c>
      <c r="M23" s="23">
        <f>IF(C23="C",E23,0)</f>
        <v>90</v>
      </c>
      <c r="N23" s="24">
        <f>M23*F23</f>
        <v>9915.2999999999993</v>
      </c>
      <c r="O23" s="24"/>
      <c r="P23" s="26"/>
    </row>
    <row r="24" spans="1:16" ht="12" customHeight="1" x14ac:dyDescent="0.25">
      <c r="A24" s="14">
        <v>4</v>
      </c>
      <c r="B24" s="53">
        <v>44714</v>
      </c>
      <c r="C24" s="62" t="s">
        <v>3</v>
      </c>
      <c r="D24" s="87" t="s">
        <v>58</v>
      </c>
      <c r="E24" s="88">
        <v>1000</v>
      </c>
      <c r="F24" s="13">
        <v>3.81</v>
      </c>
      <c r="G24" s="10"/>
      <c r="H24" s="10"/>
      <c r="I24" s="10"/>
      <c r="J24" s="10"/>
      <c r="K24" s="23">
        <f>E24*IF(C24="C",1,-1)</f>
        <v>1000</v>
      </c>
      <c r="L24" s="33">
        <f>-K24*F24</f>
        <v>-3810</v>
      </c>
      <c r="M24" s="23">
        <f>IF(C24="C",E24,0)</f>
        <v>1000</v>
      </c>
      <c r="N24" s="24">
        <f>M24*F24</f>
        <v>3810</v>
      </c>
      <c r="O24" s="24"/>
      <c r="P24" s="26"/>
    </row>
    <row r="25" spans="1:16" ht="12" customHeight="1" x14ac:dyDescent="0.25">
      <c r="A25" s="14">
        <v>5</v>
      </c>
      <c r="B25" s="53">
        <v>44714</v>
      </c>
      <c r="C25" s="62" t="s">
        <v>3</v>
      </c>
      <c r="D25" s="87" t="s">
        <v>59</v>
      </c>
      <c r="E25" s="88">
        <v>90</v>
      </c>
      <c r="F25" s="13">
        <v>108.41</v>
      </c>
      <c r="G25" s="10"/>
      <c r="H25" s="10"/>
      <c r="I25" s="10"/>
      <c r="J25" s="10"/>
      <c r="K25" s="23">
        <f>E25*IF(C25="C",1,-1)</f>
        <v>90</v>
      </c>
      <c r="L25" s="33">
        <f>-K25*F25</f>
        <v>-9756.9</v>
      </c>
      <c r="M25" s="23">
        <f>IF(C25="C",E25,0)</f>
        <v>90</v>
      </c>
      <c r="N25" s="24">
        <f>M25*F25</f>
        <v>9756.9</v>
      </c>
      <c r="O25" s="24"/>
    </row>
    <row r="26" spans="1:16" ht="12" customHeight="1" x14ac:dyDescent="0.25">
      <c r="A26" s="15" t="s">
        <v>19</v>
      </c>
      <c r="B26" s="54"/>
      <c r="C26" s="16"/>
      <c r="D26" s="15"/>
      <c r="E26" s="15"/>
      <c r="F26" s="15"/>
      <c r="G26" s="17">
        <f>SUM(L27:L29)</f>
        <v>-12911.46</v>
      </c>
      <c r="H26" s="17"/>
      <c r="I26" s="18">
        <v>0</v>
      </c>
      <c r="J26" s="18">
        <v>0</v>
      </c>
      <c r="K26" s="22"/>
      <c r="L26" s="32"/>
      <c r="M26" s="32"/>
      <c r="N26" s="32"/>
      <c r="O26" s="215"/>
    </row>
    <row r="27" spans="1:16" ht="12" customHeight="1" x14ac:dyDescent="0.25">
      <c r="A27" s="14">
        <v>1</v>
      </c>
      <c r="B27" s="53">
        <v>44715</v>
      </c>
      <c r="C27" s="62" t="s">
        <v>3</v>
      </c>
      <c r="D27" s="87" t="s">
        <v>58</v>
      </c>
      <c r="E27" s="88">
        <v>3000</v>
      </c>
      <c r="F27" s="13">
        <v>3.77</v>
      </c>
      <c r="G27" s="10"/>
      <c r="H27" s="10"/>
      <c r="I27" s="10"/>
      <c r="J27" s="10"/>
      <c r="K27" s="23">
        <f>E27*IF(C27="C",1,-1)</f>
        <v>3000</v>
      </c>
      <c r="L27" s="33">
        <f>-K27*F27</f>
        <v>-11310</v>
      </c>
      <c r="M27" s="23">
        <f>IF(C27="C",E27,0)</f>
        <v>3000</v>
      </c>
      <c r="N27" s="24">
        <f>M27*F27</f>
        <v>11310</v>
      </c>
      <c r="O27" s="24"/>
    </row>
    <row r="28" spans="1:16" ht="12" customHeight="1" x14ac:dyDescent="0.25">
      <c r="A28" s="14">
        <v>2</v>
      </c>
      <c r="B28" s="53">
        <v>44715</v>
      </c>
      <c r="C28" s="62" t="s">
        <v>3</v>
      </c>
      <c r="D28" s="87" t="s">
        <v>56</v>
      </c>
      <c r="E28" s="88">
        <f>500-438</f>
        <v>62</v>
      </c>
      <c r="F28" s="13">
        <v>25.83</v>
      </c>
      <c r="G28" s="58" t="s">
        <v>45</v>
      </c>
      <c r="H28" s="59">
        <f>-SUMIF(L27:L29,"&lt;0")</f>
        <v>12911.46</v>
      </c>
      <c r="I28" s="10"/>
      <c r="J28" s="10"/>
      <c r="K28" s="23">
        <f>E28*IF(C28="C",1,-1)</f>
        <v>62</v>
      </c>
      <c r="L28" s="33">
        <f>-K28*F28</f>
        <v>-1601.4599999999998</v>
      </c>
      <c r="M28" s="23">
        <f>IF(C28="C",E28,0)</f>
        <v>62</v>
      </c>
      <c r="N28" s="24">
        <f>M28*F28</f>
        <v>1601.4599999999998</v>
      </c>
      <c r="O28" s="24"/>
    </row>
    <row r="29" spans="1:16" ht="12" customHeight="1" x14ac:dyDescent="0.25">
      <c r="A29" s="14">
        <v>3</v>
      </c>
      <c r="B29" s="53"/>
      <c r="C29" s="62"/>
      <c r="D29" s="87"/>
      <c r="E29" s="88"/>
      <c r="F29" s="112"/>
      <c r="G29" s="60" t="s">
        <v>46</v>
      </c>
      <c r="H29" s="61">
        <f>SUMIF(L27:L29,"&gt;0")</f>
        <v>0</v>
      </c>
      <c r="I29" s="10"/>
      <c r="J29" s="10"/>
      <c r="K29" s="23"/>
      <c r="L29" s="33"/>
      <c r="M29" s="23"/>
      <c r="N29" s="24"/>
      <c r="O29" s="24"/>
    </row>
    <row r="30" spans="1:16" ht="12" customHeight="1" x14ac:dyDescent="0.25">
      <c r="A30" s="123" t="s">
        <v>73</v>
      </c>
      <c r="B30" s="4"/>
      <c r="C30" s="113"/>
      <c r="D30" s="4"/>
      <c r="E30" s="4"/>
      <c r="F30" s="51"/>
      <c r="G30" s="17">
        <f>SUM(L31:L32)</f>
        <v>0</v>
      </c>
      <c r="H30" s="17"/>
      <c r="I30" s="18">
        <v>0</v>
      </c>
      <c r="J30" s="18">
        <v>0</v>
      </c>
      <c r="K30" s="23"/>
      <c r="L30" s="33"/>
      <c r="M30" s="23"/>
      <c r="N30" s="24"/>
      <c r="O30" s="24"/>
    </row>
    <row r="31" spans="1:16" ht="12" customHeight="1" x14ac:dyDescent="0.25">
      <c r="A31" s="114">
        <v>1</v>
      </c>
      <c r="B31" s="115">
        <v>44774</v>
      </c>
      <c r="C31" s="110" t="s">
        <v>66</v>
      </c>
      <c r="D31" s="116" t="s">
        <v>58</v>
      </c>
      <c r="E31" s="117">
        <v>5000</v>
      </c>
      <c r="F31" s="111">
        <v>5.1837999999999997</v>
      </c>
      <c r="G31" s="58" t="s">
        <v>45</v>
      </c>
      <c r="H31" s="59">
        <f>E32*F32</f>
        <v>25919.000000000004</v>
      </c>
      <c r="I31" s="10"/>
      <c r="J31" s="10"/>
      <c r="K31" s="23">
        <f>E31*IF(C31="C",1,-1)</f>
        <v>-5000</v>
      </c>
      <c r="L31" s="33">
        <f>-K31*F31</f>
        <v>25919</v>
      </c>
      <c r="M31" s="23">
        <f>IF(C31="C",E31,0)</f>
        <v>0</v>
      </c>
      <c r="N31" s="24">
        <f>M31*F31</f>
        <v>0</v>
      </c>
      <c r="O31" s="24"/>
    </row>
    <row r="32" spans="1:16" ht="12" customHeight="1" x14ac:dyDescent="0.25">
      <c r="A32" s="114">
        <v>2</v>
      </c>
      <c r="B32" s="115">
        <v>44775</v>
      </c>
      <c r="C32" s="110" t="s">
        <v>3</v>
      </c>
      <c r="D32" s="116" t="s">
        <v>58</v>
      </c>
      <c r="E32" s="117">
        <v>636</v>
      </c>
      <c r="F32" s="111">
        <f>H32/636</f>
        <v>40.753144654088054</v>
      </c>
      <c r="G32" s="60" t="s">
        <v>46</v>
      </c>
      <c r="H32" s="61">
        <f>E31*F31</f>
        <v>25919</v>
      </c>
      <c r="I32" s="10"/>
      <c r="J32" s="10"/>
      <c r="K32" s="23">
        <f>E32*IF(C32="C",1,-1)</f>
        <v>636</v>
      </c>
      <c r="L32" s="33">
        <f>-K32*F32</f>
        <v>-25919.000000000004</v>
      </c>
      <c r="M32" s="23">
        <f>IF(C32="C",E32,0)</f>
        <v>636</v>
      </c>
      <c r="N32" s="24">
        <f>M32*F32</f>
        <v>25919.000000000004</v>
      </c>
      <c r="O32" s="24"/>
    </row>
    <row r="33" spans="1:17" ht="12" customHeight="1" x14ac:dyDescent="0.25">
      <c r="A33" s="15" t="s">
        <v>19</v>
      </c>
      <c r="B33" s="54"/>
      <c r="C33" s="16"/>
      <c r="D33" s="15"/>
      <c r="E33" s="15"/>
      <c r="F33" s="15"/>
      <c r="G33" s="17">
        <f>SUM(L34:L37)</f>
        <v>-3375</v>
      </c>
      <c r="H33" s="17"/>
      <c r="I33" s="18">
        <v>0</v>
      </c>
      <c r="J33" s="18">
        <v>0</v>
      </c>
      <c r="K33" s="22"/>
      <c r="L33" s="32"/>
      <c r="M33" s="32"/>
      <c r="N33" s="32"/>
      <c r="O33" s="215"/>
    </row>
    <row r="34" spans="1:17" ht="12" customHeight="1" x14ac:dyDescent="0.25">
      <c r="A34" s="14">
        <v>1</v>
      </c>
      <c r="B34" s="53">
        <v>44873</v>
      </c>
      <c r="C34" s="62" t="s">
        <v>3</v>
      </c>
      <c r="D34" s="87" t="s">
        <v>59</v>
      </c>
      <c r="E34" s="88">
        <v>30</v>
      </c>
      <c r="F34" s="13">
        <v>112.5</v>
      </c>
      <c r="G34" s="58" t="s">
        <v>45</v>
      </c>
      <c r="H34" s="59">
        <f>-SUMIF(L34:L37,"&lt;0")</f>
        <v>3375</v>
      </c>
      <c r="I34" s="10"/>
      <c r="J34" s="10"/>
      <c r="K34" s="23">
        <f>E34*IF(C34="C",1,-1)</f>
        <v>30</v>
      </c>
      <c r="L34" s="33">
        <f>-K34*F34</f>
        <v>-3375</v>
      </c>
      <c r="M34" s="23">
        <f>IF(C34="C",E34,0)</f>
        <v>30</v>
      </c>
      <c r="N34" s="24">
        <f>M34*F34</f>
        <v>3375</v>
      </c>
      <c r="O34" s="24"/>
    </row>
    <row r="35" spans="1:17" ht="12" customHeight="1" x14ac:dyDescent="0.25">
      <c r="A35" s="14"/>
      <c r="B35" s="53"/>
      <c r="C35" s="62"/>
      <c r="D35" s="87"/>
      <c r="E35" s="88"/>
      <c r="F35" s="13"/>
      <c r="G35" s="223" t="s">
        <v>46</v>
      </c>
      <c r="H35" s="224">
        <f>SUMIF(L34:L37,"&gt;0")</f>
        <v>0</v>
      </c>
      <c r="I35" s="10"/>
      <c r="J35" s="10"/>
      <c r="K35" s="23">
        <f>E35*IF(C35="C",1,-1)</f>
        <v>0</v>
      </c>
      <c r="L35" s="33">
        <f>-K35*F35</f>
        <v>0</v>
      </c>
      <c r="M35" s="23">
        <f>IF(C35="C",E35,0)</f>
        <v>0</v>
      </c>
      <c r="N35" s="24">
        <f>M35*F35</f>
        <v>0</v>
      </c>
      <c r="O35" s="24"/>
    </row>
    <row r="36" spans="1:17" ht="12" customHeight="1" x14ac:dyDescent="0.25">
      <c r="A36" s="225"/>
      <c r="B36" s="236">
        <v>2023</v>
      </c>
      <c r="C36" s="226"/>
      <c r="D36" s="227"/>
      <c r="E36" s="228"/>
      <c r="F36" s="229"/>
      <c r="G36" s="230"/>
      <c r="H36" s="231"/>
      <c r="I36" s="232"/>
      <c r="J36" s="232"/>
      <c r="K36" s="233"/>
      <c r="L36" s="234"/>
      <c r="M36" s="233"/>
      <c r="N36" s="235"/>
      <c r="O36" s="24"/>
    </row>
    <row r="37" spans="1:17" ht="12" customHeight="1" x14ac:dyDescent="0.25">
      <c r="A37" s="15" t="s">
        <v>19</v>
      </c>
      <c r="B37" s="54"/>
      <c r="C37" s="216" t="s">
        <v>102</v>
      </c>
      <c r="D37" s="15"/>
      <c r="E37" s="15"/>
      <c r="F37" s="15"/>
      <c r="G37" s="17">
        <f>SUM(L38:L40)</f>
        <v>583.5</v>
      </c>
      <c r="H37" s="17"/>
      <c r="I37" s="18">
        <v>0</v>
      </c>
      <c r="J37" s="18">
        <v>0</v>
      </c>
      <c r="K37" s="22"/>
      <c r="L37" s="32"/>
      <c r="M37" s="32"/>
      <c r="N37" s="32"/>
      <c r="O37" s="215"/>
    </row>
    <row r="38" spans="1:17" ht="12" customHeight="1" x14ac:dyDescent="0.25">
      <c r="A38" s="14">
        <v>1</v>
      </c>
      <c r="B38" s="53">
        <v>44936</v>
      </c>
      <c r="C38" s="62" t="s">
        <v>66</v>
      </c>
      <c r="D38" s="87" t="s">
        <v>59</v>
      </c>
      <c r="E38" s="88">
        <v>50</v>
      </c>
      <c r="F38" s="13">
        <v>106.27</v>
      </c>
      <c r="G38" s="58" t="s">
        <v>45</v>
      </c>
      <c r="H38" s="59">
        <f>-SUMIF(L38:L39,"&lt;0")</f>
        <v>4730</v>
      </c>
      <c r="I38" s="10"/>
      <c r="J38" s="10"/>
      <c r="K38" s="23">
        <f>E38*IF(C38="C",1,-1)</f>
        <v>-50</v>
      </c>
      <c r="L38" s="33">
        <f>-K38*F38</f>
        <v>5313.5</v>
      </c>
      <c r="M38" s="23">
        <f>IF(C38="C",E38,0)</f>
        <v>0</v>
      </c>
      <c r="N38" s="24">
        <f>M38*F38</f>
        <v>0</v>
      </c>
      <c r="O38" s="217">
        <f>[1]!BOVA11</f>
        <v>107.7</v>
      </c>
      <c r="P38" s="218">
        <f>O38-F38</f>
        <v>1.4300000000000068</v>
      </c>
      <c r="Q38" s="219">
        <f>K38*P38</f>
        <v>-71.500000000000341</v>
      </c>
    </row>
    <row r="39" spans="1:17" ht="12" customHeight="1" x14ac:dyDescent="0.25">
      <c r="A39" s="14">
        <v>2</v>
      </c>
      <c r="B39" s="53">
        <v>44936</v>
      </c>
      <c r="C39" s="62" t="s">
        <v>3</v>
      </c>
      <c r="D39" s="87" t="s">
        <v>98</v>
      </c>
      <c r="E39" s="88">
        <v>200</v>
      </c>
      <c r="F39" s="13">
        <v>23.65</v>
      </c>
      <c r="G39" s="60" t="s">
        <v>46</v>
      </c>
      <c r="H39" s="61">
        <f>SUMIF(L38:L39,"&gt;0")</f>
        <v>5313.5</v>
      </c>
      <c r="I39" s="10"/>
      <c r="J39" s="10"/>
      <c r="K39" s="23">
        <f>E39*IF(C39="C",1,-1)</f>
        <v>200</v>
      </c>
      <c r="L39" s="33">
        <f>-K39*F39</f>
        <v>-4730</v>
      </c>
      <c r="M39" s="23">
        <f>IF(C39="C",E39,0)</f>
        <v>200</v>
      </c>
      <c r="N39" s="24">
        <f>M39*F39</f>
        <v>4730</v>
      </c>
      <c r="O39" s="220">
        <f>[1]!PETR4</f>
        <v>24.54</v>
      </c>
      <c r="P39" s="221">
        <f>O39-F39</f>
        <v>0.89000000000000057</v>
      </c>
      <c r="Q39" s="222">
        <f>K39*P39</f>
        <v>178.00000000000011</v>
      </c>
    </row>
    <row r="40" spans="1:17" ht="12" customHeight="1" x14ac:dyDescent="0.25">
      <c r="A40" s="49"/>
      <c r="B40" s="211"/>
      <c r="C40" s="212"/>
      <c r="D40" s="213"/>
      <c r="E40" s="214"/>
      <c r="F40" s="50"/>
      <c r="G40" s="48"/>
      <c r="H40" s="48"/>
      <c r="I40" s="51"/>
      <c r="J40" s="51"/>
      <c r="K40" s="23"/>
      <c r="L40" s="33"/>
      <c r="M40" s="23"/>
      <c r="N40" s="24"/>
      <c r="O40" s="24"/>
    </row>
    <row r="41" spans="1:17" ht="12" customHeight="1" x14ac:dyDescent="0.25"/>
    <row r="42" spans="1:17" ht="12" customHeight="1" x14ac:dyDescent="0.25"/>
    <row r="43" spans="1:17" ht="12" customHeight="1" x14ac:dyDescent="0.25"/>
    <row r="44" spans="1:17" ht="12" customHeight="1" x14ac:dyDescent="0.25"/>
    <row r="45" spans="1:17" ht="12" customHeight="1" x14ac:dyDescent="0.25"/>
    <row r="46" spans="1:17" ht="12" customHeight="1" x14ac:dyDescent="0.25"/>
    <row r="47" spans="1:17" ht="12" customHeight="1" x14ac:dyDescent="0.25"/>
    <row r="48" spans="1:1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  <row r="78" ht="12" customHeight="1" x14ac:dyDescent="0.25"/>
    <row r="79" ht="12" customHeight="1" x14ac:dyDescent="0.25"/>
    <row r="80" ht="12" customHeight="1" x14ac:dyDescent="0.25"/>
    <row r="81" ht="12" customHeight="1" x14ac:dyDescent="0.25"/>
    <row r="82" ht="12" customHeight="1" x14ac:dyDescent="0.25"/>
    <row r="83" ht="12" customHeight="1" x14ac:dyDescent="0.25"/>
    <row r="84" ht="12" customHeight="1" x14ac:dyDescent="0.25"/>
    <row r="85" ht="12" customHeight="1" x14ac:dyDescent="0.25"/>
    <row r="86" ht="12" customHeight="1" x14ac:dyDescent="0.25"/>
    <row r="87" ht="12" customHeight="1" x14ac:dyDescent="0.25"/>
    <row r="88" ht="12" customHeight="1" x14ac:dyDescent="0.25"/>
    <row r="89" ht="12" customHeight="1" x14ac:dyDescent="0.25"/>
    <row r="90" ht="12" customHeight="1" x14ac:dyDescent="0.25"/>
    <row r="91" ht="12" customHeight="1" x14ac:dyDescent="0.25"/>
    <row r="92" ht="12" customHeight="1" x14ac:dyDescent="0.25"/>
    <row r="93" ht="12" customHeight="1" x14ac:dyDescent="0.25"/>
    <row r="94" ht="12" customHeight="1" x14ac:dyDescent="0.25"/>
    <row r="95" ht="12" customHeight="1" x14ac:dyDescent="0.25"/>
    <row r="96" ht="12" customHeight="1" x14ac:dyDescent="0.25"/>
    <row r="97" ht="12" customHeight="1" x14ac:dyDescent="0.25"/>
    <row r="98" ht="12" customHeight="1" x14ac:dyDescent="0.25"/>
    <row r="99" ht="12" customHeight="1" x14ac:dyDescent="0.25"/>
    <row r="100" ht="12" customHeight="1" x14ac:dyDescent="0.25"/>
    <row r="101" ht="12" customHeight="1" x14ac:dyDescent="0.25"/>
    <row r="102" ht="12" customHeight="1" x14ac:dyDescent="0.25"/>
    <row r="103" ht="12" customHeight="1" x14ac:dyDescent="0.25"/>
    <row r="104" ht="12" customHeight="1" x14ac:dyDescent="0.25"/>
    <row r="105" ht="12" customHeight="1" x14ac:dyDescent="0.25"/>
    <row r="106" ht="12" customHeight="1" x14ac:dyDescent="0.25"/>
    <row r="107" ht="12" customHeight="1" x14ac:dyDescent="0.25"/>
    <row r="108" ht="12" customHeight="1" x14ac:dyDescent="0.25"/>
    <row r="109" ht="12" customHeight="1" x14ac:dyDescent="0.25"/>
    <row r="110" ht="12" customHeight="1" x14ac:dyDescent="0.25"/>
    <row r="111" ht="12" customHeight="1" x14ac:dyDescent="0.25"/>
    <row r="112" ht="12" customHeight="1" x14ac:dyDescent="0.25"/>
    <row r="113" ht="12" customHeight="1" x14ac:dyDescent="0.25"/>
    <row r="114" ht="12" customHeight="1" x14ac:dyDescent="0.25"/>
    <row r="115" ht="12" customHeight="1" x14ac:dyDescent="0.25"/>
    <row r="116" ht="12" customHeight="1" x14ac:dyDescent="0.25"/>
    <row r="117" ht="12" customHeight="1" x14ac:dyDescent="0.25"/>
    <row r="118" ht="12" customHeight="1" x14ac:dyDescent="0.25"/>
    <row r="119" ht="12" customHeight="1" x14ac:dyDescent="0.25"/>
    <row r="120" ht="12" customHeight="1" x14ac:dyDescent="0.25"/>
    <row r="121" ht="12" customHeight="1" x14ac:dyDescent="0.25"/>
    <row r="122" ht="12" customHeight="1" x14ac:dyDescent="0.25"/>
    <row r="123" ht="12" customHeight="1" x14ac:dyDescent="0.25"/>
    <row r="124" ht="12" customHeight="1" x14ac:dyDescent="0.25"/>
    <row r="125" ht="12" customHeight="1" x14ac:dyDescent="0.25"/>
    <row r="126" ht="12" customHeight="1" x14ac:dyDescent="0.25"/>
    <row r="127" ht="12" customHeight="1" x14ac:dyDescent="0.25"/>
    <row r="128" ht="12" customHeight="1" x14ac:dyDescent="0.25"/>
    <row r="129" ht="12" customHeight="1" x14ac:dyDescent="0.25"/>
  </sheetData>
  <sortState ref="A3:D33">
    <sortCondition ref="A3:A33"/>
  </sortState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U48"/>
  <sheetViews>
    <sheetView workbookViewId="0">
      <pane ySplit="3" topLeftCell="A4" activePane="bottomLeft" state="frozen"/>
      <selection pane="bottomLeft" activeCell="R17" sqref="R17"/>
    </sheetView>
  </sheetViews>
  <sheetFormatPr defaultRowHeight="15" x14ac:dyDescent="0.25"/>
  <cols>
    <col min="1" max="1" width="5" customWidth="1"/>
    <col min="2" max="2" width="7.7109375" customWidth="1"/>
    <col min="3" max="3" width="6.5703125" customWidth="1"/>
    <col min="4" max="4" width="9.140625" customWidth="1"/>
    <col min="5" max="5" width="8.85546875" customWidth="1"/>
    <col min="6" max="6" width="6.7109375" customWidth="1"/>
    <col min="7" max="7" width="5.28515625" customWidth="1"/>
    <col min="8" max="8" width="3.42578125" customWidth="1"/>
    <col min="9" max="9" width="10.140625" customWidth="1"/>
    <col min="10" max="10" width="10.28515625" customWidth="1"/>
    <col min="11" max="11" width="8.7109375" customWidth="1"/>
    <col min="12" max="12" width="9.85546875" customWidth="1"/>
    <col min="13" max="13" width="9.42578125" customWidth="1"/>
    <col min="14" max="14" width="17.140625" customWidth="1"/>
    <col min="15" max="15" width="7.140625" customWidth="1"/>
    <col min="16" max="16" width="8.85546875" customWidth="1"/>
    <col min="21" max="21" width="4.42578125" customWidth="1"/>
  </cols>
  <sheetData>
    <row r="1" spans="1:21" ht="10.9" customHeight="1" x14ac:dyDescent="0.25">
      <c r="A1" s="34" t="s">
        <v>24</v>
      </c>
    </row>
    <row r="2" spans="1:21" ht="10.9" customHeight="1" x14ac:dyDescent="0.25">
      <c r="A2" s="21" t="s">
        <v>38</v>
      </c>
    </row>
    <row r="3" spans="1:21" ht="10.9" customHeight="1" x14ac:dyDescent="0.25">
      <c r="A3" s="94" t="s">
        <v>63</v>
      </c>
      <c r="B3" s="28" t="s">
        <v>6</v>
      </c>
      <c r="C3" s="28" t="s">
        <v>31</v>
      </c>
      <c r="D3" s="52" t="s">
        <v>18</v>
      </c>
      <c r="E3" s="52" t="s">
        <v>7</v>
      </c>
      <c r="F3" s="28" t="s">
        <v>21</v>
      </c>
      <c r="G3" s="28" t="s">
        <v>22</v>
      </c>
      <c r="H3" s="28" t="s">
        <v>93</v>
      </c>
      <c r="I3" s="28" t="s">
        <v>14</v>
      </c>
      <c r="J3" s="28" t="s">
        <v>15</v>
      </c>
      <c r="K3" s="28" t="s">
        <v>16</v>
      </c>
      <c r="L3" s="28" t="s">
        <v>17</v>
      </c>
      <c r="M3" s="29" t="s">
        <v>23</v>
      </c>
      <c r="N3" s="28" t="s">
        <v>61</v>
      </c>
      <c r="O3" s="28" t="s">
        <v>84</v>
      </c>
      <c r="P3" s="28" t="s">
        <v>85</v>
      </c>
    </row>
    <row r="4" spans="1:21" ht="13.35" customHeight="1" x14ac:dyDescent="0.25">
      <c r="A4" s="25">
        <v>1</v>
      </c>
      <c r="B4" s="135" t="s">
        <v>56</v>
      </c>
      <c r="C4" s="99">
        <f>SUMIFS(Notas!$K$11:$K$1011,Notas!$D$11:$D$1011,B4)</f>
        <v>500</v>
      </c>
      <c r="D4" s="100">
        <f t="shared" ref="D4:D10" si="0">C4*E4</f>
        <v>15687.977999999999</v>
      </c>
      <c r="E4" s="101">
        <f>SUMIFS(Notas!$N$11:$N$1011,Notas!$D$11:$D$1011,B4)/SUMIFS(Notas!$M$11:$M$1011,Notas!$D$11:$D$1011,B4)</f>
        <v>31.375955999999999</v>
      </c>
      <c r="F4" s="102">
        <f>ABS(COUNTIFS(Notas!$D$11:$D$1011,B4))</f>
        <v>2</v>
      </c>
      <c r="G4" s="103" t="s">
        <v>10</v>
      </c>
      <c r="H4" s="103" t="s">
        <v>87</v>
      </c>
      <c r="I4" s="95">
        <f>[1]!ITUB4</f>
        <v>26.21</v>
      </c>
      <c r="J4" s="122">
        <f t="shared" ref="J4:J10" si="1">C4*I4</f>
        <v>13105</v>
      </c>
      <c r="K4" s="86">
        <f t="shared" ref="K4:K10" si="2">J4/$J$24</f>
        <v>0.15790792780938748</v>
      </c>
      <c r="L4" s="104">
        <f t="shared" ref="L4:L10" si="3">J4-D4</f>
        <v>-2582.9779999999992</v>
      </c>
      <c r="M4" s="105">
        <f t="shared" ref="M4:M10" si="4">L4/D4</f>
        <v>-0.16464696725097391</v>
      </c>
      <c r="N4" s="125" t="str">
        <f>[1]!ITUB4.nome</f>
        <v>Itau Unibanco Holding SA</v>
      </c>
      <c r="O4" s="144">
        <f>[1]!ITUB4.var</f>
        <v>1.2E-2</v>
      </c>
      <c r="P4" s="174">
        <f>[1]!ITUB4.PL</f>
        <v>9</v>
      </c>
    </row>
    <row r="5" spans="1:21" ht="13.35" customHeight="1" x14ac:dyDescent="0.25">
      <c r="A5" s="25">
        <v>2</v>
      </c>
      <c r="B5" s="135" t="s">
        <v>47</v>
      </c>
      <c r="C5" s="99">
        <f>SUMIFS(Notas!$K$11:$K$1011,Notas!$D$11:$D$1011,B5)</f>
        <v>240</v>
      </c>
      <c r="D5" s="100">
        <f t="shared" si="0"/>
        <v>19845.010000000002</v>
      </c>
      <c r="E5" s="101">
        <f>SUMIFS(Notas!$N$11:$N$1011,Notas!$D$11:$D$1011,B5)/SUMIFS(Notas!$M$11:$M$1011,Notas!$D$11:$D$1011,B5)</f>
        <v>82.687541666666675</v>
      </c>
      <c r="F5" s="102">
        <f>ABS(COUNTIFS(Notas!$D$11:$D$501,B5))</f>
        <v>2</v>
      </c>
      <c r="G5" s="103" t="s">
        <v>10</v>
      </c>
      <c r="H5" s="103" t="s">
        <v>87</v>
      </c>
      <c r="I5" s="95">
        <f>[1]!vale3</f>
        <v>94.22</v>
      </c>
      <c r="J5" s="122">
        <f t="shared" si="1"/>
        <v>22612.799999999999</v>
      </c>
      <c r="K5" s="86">
        <f t="shared" si="2"/>
        <v>0.27247160549165333</v>
      </c>
      <c r="L5" s="104">
        <f t="shared" si="3"/>
        <v>2767.7899999999972</v>
      </c>
      <c r="M5" s="105">
        <f t="shared" si="4"/>
        <v>0.13947032528580217</v>
      </c>
      <c r="N5" s="125" t="str">
        <f>[1]!vale3.nome</f>
        <v>Vale SA</v>
      </c>
      <c r="O5" s="144">
        <f>[1]!VALE3.var</f>
        <v>6.7999999999999996E-3</v>
      </c>
      <c r="P5" s="174">
        <f>[1]!VALE3.PL</f>
        <v>4.2</v>
      </c>
    </row>
    <row r="6" spans="1:21" ht="13.35" customHeight="1" x14ac:dyDescent="0.25">
      <c r="A6" s="97">
        <v>3</v>
      </c>
      <c r="B6" s="135" t="s">
        <v>57</v>
      </c>
      <c r="C6" s="99">
        <f>SUMIFS(Notas!$K$11:$K$1011,Notas!$D$11:$D$1011,B6)</f>
        <v>100</v>
      </c>
      <c r="D6" s="100">
        <f t="shared" si="0"/>
        <v>10965.968999999999</v>
      </c>
      <c r="E6" s="101">
        <f>SUMIFS(Notas!$N$11:$N$1011,Notas!$D$11:$D$1011,B6)/SUMIFS(Notas!$M$11:$M$1011,Notas!$D$11:$D$1011,B6)</f>
        <v>109.65969</v>
      </c>
      <c r="F6" s="102">
        <f>ABS(COUNTIFS(Notas!$D$11:$D$501,B6))</f>
        <v>2</v>
      </c>
      <c r="G6" s="103" t="s">
        <v>10</v>
      </c>
      <c r="H6" s="103" t="s">
        <v>88</v>
      </c>
      <c r="I6" s="95">
        <f>[1]!xpbr31</f>
        <v>80.599999999999994</v>
      </c>
      <c r="J6" s="121">
        <f t="shared" si="1"/>
        <v>8059.9999999999991</v>
      </c>
      <c r="K6" s="86">
        <f t="shared" si="2"/>
        <v>9.7118496615311939E-2</v>
      </c>
      <c r="L6" s="104">
        <f t="shared" si="3"/>
        <v>-2905.9690000000001</v>
      </c>
      <c r="M6" s="105">
        <f t="shared" si="4"/>
        <v>-0.26499883412035913</v>
      </c>
      <c r="N6" s="125" t="str">
        <f>[1]!xpbr31.nome</f>
        <v>XP Inc Bdr</v>
      </c>
      <c r="O6" s="144">
        <f>[1]!XPBR31.var</f>
        <v>-5.7999999999999996E-3</v>
      </c>
      <c r="P6" s="174" t="e">
        <f>[1]!XPBR31.pl</f>
        <v>#N/A</v>
      </c>
    </row>
    <row r="7" spans="1:21" ht="13.35" customHeight="1" x14ac:dyDescent="0.25">
      <c r="A7" s="106">
        <v>4</v>
      </c>
      <c r="B7" s="135" t="s">
        <v>58</v>
      </c>
      <c r="C7" s="99">
        <f>SUMIFS(Notas!$K$11:$K$1011,Notas!$D$11:$D$1011,B7)</f>
        <v>636</v>
      </c>
      <c r="D7" s="100">
        <f t="shared" si="0"/>
        <v>5056.5159687721789</v>
      </c>
      <c r="E7" s="101">
        <f>SUMIFS(Notas!$N$11:$N$1011,Notas!$D$11:$D$1011,B7)/SUMIFS(Notas!$M$11:$M$1011,Notas!$D$11:$D$1011,B7)</f>
        <v>7.9504968062455639</v>
      </c>
      <c r="F7" s="102">
        <f>ABS(COUNTIFS(Notas!$D$11:$D$501,B7))</f>
        <v>5</v>
      </c>
      <c r="G7" s="103" t="s">
        <v>13</v>
      </c>
      <c r="H7" s="103" t="s">
        <v>88</v>
      </c>
      <c r="I7" s="95">
        <f>[1]!AMZO34</f>
        <v>23.6</v>
      </c>
      <c r="J7" s="121">
        <f t="shared" si="1"/>
        <v>15009.6</v>
      </c>
      <c r="K7" s="86">
        <f t="shared" si="2"/>
        <v>0.18085729364729358</v>
      </c>
      <c r="L7" s="104">
        <f t="shared" si="3"/>
        <v>9953.0840312278215</v>
      </c>
      <c r="M7" s="105">
        <f t="shared" si="4"/>
        <v>1.9683679617933898</v>
      </c>
      <c r="N7" s="125" t="str">
        <f>[1]!AMZO34.nome</f>
        <v>Amazon BDR</v>
      </c>
      <c r="O7" s="144">
        <f>[1]!AMZO34.var</f>
        <v>6.0000000000000001E-3</v>
      </c>
      <c r="P7" s="174" t="e">
        <f>[1]!AMZO34.pl</f>
        <v>#N/A</v>
      </c>
    </row>
    <row r="8" spans="1:21" ht="13.35" customHeight="1" x14ac:dyDescent="0.25">
      <c r="A8" s="106">
        <v>5</v>
      </c>
      <c r="B8" s="135" t="s">
        <v>59</v>
      </c>
      <c r="C8" s="99">
        <f>SUMIFS(Notas!$K$11:$K$1011,Notas!$D$11:$D$1011,B8)</f>
        <v>80</v>
      </c>
      <c r="D8" s="100">
        <f t="shared" si="0"/>
        <v>8744.2461538461539</v>
      </c>
      <c r="E8" s="101">
        <f>SUMIFS(Notas!$N$11:$N$1011,Notas!$D$11:$D$1011,B8)/SUMIFS(Notas!$M$11:$M$1011,Notas!$D$11:$D$1011,B8)</f>
        <v>109.30307692307692</v>
      </c>
      <c r="F8" s="102">
        <f>ABS(COUNTIFS(Notas!$D$11:$D$501,B8))</f>
        <v>4</v>
      </c>
      <c r="G8" s="103" t="s">
        <v>11</v>
      </c>
      <c r="H8" s="103" t="s">
        <v>87</v>
      </c>
      <c r="I8" s="95">
        <f>[1]!BOVA11</f>
        <v>107.7</v>
      </c>
      <c r="J8" s="121">
        <f t="shared" si="1"/>
        <v>8616</v>
      </c>
      <c r="K8" s="86">
        <f t="shared" si="2"/>
        <v>0.10381798595999105</v>
      </c>
      <c r="L8" s="104">
        <f t="shared" si="3"/>
        <v>-128.2461538461539</v>
      </c>
      <c r="M8" s="105">
        <f t="shared" si="4"/>
        <v>-1.4666347629034307E-2</v>
      </c>
      <c r="N8" s="125" t="str">
        <f>[1]!BOVA11.nome</f>
        <v>Ishares Ibovespa Fundo de</v>
      </c>
      <c r="O8" s="144">
        <f>[1]!BOVA11.var</f>
        <v>4.8999999999999998E-3</v>
      </c>
      <c r="P8" s="174" t="str">
        <f>[1]!BOVA11.PL</f>
        <v>-</v>
      </c>
    </row>
    <row r="9" spans="1:21" ht="13.35" customHeight="1" x14ac:dyDescent="0.25">
      <c r="A9" s="106">
        <v>6</v>
      </c>
      <c r="B9" s="135" t="s">
        <v>60</v>
      </c>
      <c r="C9" s="99">
        <f>SUMIFS(Notas!$K$11:$K$1011,Notas!$D$11:$D$1011,B9)</f>
        <v>100</v>
      </c>
      <c r="D9" s="100">
        <f t="shared" si="0"/>
        <v>10701</v>
      </c>
      <c r="E9" s="101">
        <f>SUMIFS(Notas!$N$11:$N$1011,Notas!$D$11:$D$1011,B9)/SUMIFS(Notas!$M$11:$M$1011,Notas!$D$11:$D$1011,B9)</f>
        <v>107.01</v>
      </c>
      <c r="F9" s="102">
        <f>ABS(COUNTIFS(Notas!$D$11:$D$501,B9))</f>
        <v>1</v>
      </c>
      <c r="G9" s="103" t="s">
        <v>12</v>
      </c>
      <c r="H9" s="103" t="s">
        <v>87</v>
      </c>
      <c r="I9" s="95">
        <f>[1]!KNCA11</f>
        <v>106.8</v>
      </c>
      <c r="J9" s="121">
        <f t="shared" si="1"/>
        <v>10680</v>
      </c>
      <c r="K9" s="86">
        <f t="shared" si="2"/>
        <v>0.12868803273592205</v>
      </c>
      <c r="L9" s="104">
        <f t="shared" si="3"/>
        <v>-21</v>
      </c>
      <c r="M9" s="105">
        <f t="shared" si="4"/>
        <v>-1.9624334174376226E-3</v>
      </c>
      <c r="N9" s="125" t="str">
        <f>[1]!KNCA11.nome</f>
        <v>Kinea Credito Agro FIAGRO</v>
      </c>
      <c r="O9" s="144">
        <f>[1]!KNCA11.var</f>
        <v>1.8E-3</v>
      </c>
      <c r="P9" s="174" t="e">
        <f>[1]!KNCA11.pl</f>
        <v>#N/A</v>
      </c>
    </row>
    <row r="10" spans="1:21" ht="13.35" customHeight="1" x14ac:dyDescent="0.25">
      <c r="A10" s="106">
        <v>7</v>
      </c>
      <c r="B10" s="135" t="s">
        <v>98</v>
      </c>
      <c r="C10" s="99">
        <v>200</v>
      </c>
      <c r="D10" s="100">
        <f t="shared" si="0"/>
        <v>4730</v>
      </c>
      <c r="E10" s="101">
        <f>SUMIFS(Notas!$N$11:$N$1011,Notas!$D$11:$D$1011,B10)/SUMIFS(Notas!$M$11:$M$1011,Notas!$D$11:$D$1011,B10)</f>
        <v>23.65</v>
      </c>
      <c r="F10" s="102">
        <f>ABS(COUNTIFS(Notas!$D$11:$D$501,B10))</f>
        <v>1</v>
      </c>
      <c r="G10" s="103" t="s">
        <v>10</v>
      </c>
      <c r="H10" s="103" t="s">
        <v>87</v>
      </c>
      <c r="I10" s="95">
        <f>[1]!PETR4</f>
        <v>24.54</v>
      </c>
      <c r="J10" s="121">
        <f t="shared" si="1"/>
        <v>4908</v>
      </c>
      <c r="K10" s="86">
        <f t="shared" si="2"/>
        <v>5.9138657740440581E-2</v>
      </c>
      <c r="L10" s="104">
        <f t="shared" si="3"/>
        <v>178</v>
      </c>
      <c r="M10" s="105">
        <f t="shared" si="4"/>
        <v>3.7632135306553911E-2</v>
      </c>
      <c r="N10" s="125" t="str">
        <f>[1]!petr4.nome</f>
        <v>Petroleo Brasileiro SA Pe</v>
      </c>
      <c r="O10" s="144">
        <f>[1]!PETR4.var</f>
        <v>1.8700000000000001E-2</v>
      </c>
      <c r="P10" s="174">
        <f>[1]!petr4.pl</f>
        <v>1.8</v>
      </c>
      <c r="R10" s="107"/>
      <c r="S10" s="155"/>
      <c r="T10" s="107"/>
      <c r="U10" s="107"/>
    </row>
    <row r="11" spans="1:21" ht="13.35" customHeight="1" x14ac:dyDescent="0.25">
      <c r="A11" s="106">
        <v>8</v>
      </c>
      <c r="B11" s="135"/>
      <c r="C11" s="107"/>
      <c r="D11" s="107"/>
      <c r="E11" s="107"/>
      <c r="F11" s="107"/>
      <c r="G11" s="98"/>
      <c r="H11" s="98"/>
      <c r="I11" s="108"/>
      <c r="J11" s="109"/>
      <c r="K11" s="107"/>
      <c r="L11" s="107"/>
      <c r="M11" s="107"/>
      <c r="N11" s="124"/>
      <c r="O11" s="124"/>
      <c r="P11" s="124"/>
      <c r="R11" s="107"/>
      <c r="S11" s="155"/>
      <c r="T11" s="107"/>
      <c r="U11" s="107"/>
    </row>
    <row r="12" spans="1:21" ht="13.35" customHeight="1" x14ac:dyDescent="0.25">
      <c r="A12" s="106">
        <v>9</v>
      </c>
      <c r="B12" s="135"/>
      <c r="C12" s="107"/>
      <c r="D12" s="107"/>
      <c r="E12" s="107"/>
      <c r="F12" s="107"/>
      <c r="G12" s="98"/>
      <c r="H12" s="98"/>
      <c r="I12" s="108"/>
      <c r="J12" s="109"/>
      <c r="K12" s="107"/>
      <c r="L12" s="107"/>
      <c r="M12" s="107"/>
      <c r="N12" s="124"/>
      <c r="O12" s="124"/>
      <c r="P12" s="124"/>
      <c r="U12" s="107"/>
    </row>
    <row r="13" spans="1:21" ht="13.35" customHeight="1" x14ac:dyDescent="0.25">
      <c r="A13" s="106">
        <v>10</v>
      </c>
      <c r="B13" s="135"/>
      <c r="C13" s="107"/>
      <c r="D13" s="107"/>
      <c r="E13" s="107"/>
      <c r="F13" s="107"/>
      <c r="G13" s="98"/>
      <c r="H13" s="98"/>
      <c r="I13" s="108"/>
      <c r="J13" s="109"/>
      <c r="K13" s="107"/>
      <c r="L13" s="107"/>
      <c r="M13" s="107"/>
      <c r="N13" s="124"/>
      <c r="O13" s="124"/>
      <c r="P13" s="124"/>
      <c r="U13" s="107"/>
    </row>
    <row r="14" spans="1:21" ht="13.35" customHeight="1" x14ac:dyDescent="0.25">
      <c r="A14" s="106">
        <v>11</v>
      </c>
      <c r="B14" s="135"/>
      <c r="C14" s="107"/>
      <c r="D14" s="107"/>
      <c r="E14" s="107"/>
      <c r="F14" s="107"/>
      <c r="G14" s="98"/>
      <c r="H14" s="98"/>
      <c r="I14" s="108"/>
      <c r="J14" s="109"/>
      <c r="K14" s="107"/>
      <c r="L14" s="107"/>
      <c r="M14" s="107"/>
      <c r="N14" s="124"/>
      <c r="O14" s="124"/>
      <c r="P14" s="124"/>
      <c r="U14" s="107"/>
    </row>
    <row r="15" spans="1:21" ht="13.35" customHeight="1" x14ac:dyDescent="0.25">
      <c r="A15" s="106">
        <v>12</v>
      </c>
      <c r="B15" s="135"/>
      <c r="C15" s="107"/>
      <c r="D15" s="107"/>
      <c r="E15" s="107"/>
      <c r="F15" s="107"/>
      <c r="G15" s="98"/>
      <c r="H15" s="98"/>
      <c r="I15" s="108"/>
      <c r="J15" s="109"/>
      <c r="K15" s="107"/>
      <c r="L15" s="107"/>
      <c r="M15" s="107"/>
      <c r="N15" s="124"/>
      <c r="O15" s="124"/>
      <c r="P15" s="124"/>
      <c r="U15" s="107"/>
    </row>
    <row r="16" spans="1:21" ht="13.35" customHeight="1" x14ac:dyDescent="0.25">
      <c r="A16" s="106">
        <v>13</v>
      </c>
      <c r="B16" s="135"/>
      <c r="C16" s="107"/>
      <c r="D16" s="107"/>
      <c r="E16" s="107"/>
      <c r="F16" s="107"/>
      <c r="G16" s="98"/>
      <c r="H16" s="98"/>
      <c r="I16" s="108"/>
      <c r="J16" s="109"/>
      <c r="K16" s="107"/>
      <c r="L16" s="107"/>
      <c r="M16" s="107"/>
      <c r="N16" s="124"/>
      <c r="O16" s="124"/>
      <c r="P16" s="124"/>
      <c r="U16" s="107"/>
    </row>
    <row r="17" spans="1:21" ht="13.35" customHeight="1" x14ac:dyDescent="0.25">
      <c r="A17" s="106">
        <v>14</v>
      </c>
      <c r="B17" s="135"/>
      <c r="C17" s="107"/>
      <c r="D17" s="107"/>
      <c r="E17" s="107"/>
      <c r="F17" s="107"/>
      <c r="G17" s="98"/>
      <c r="H17" s="98"/>
      <c r="I17" s="108"/>
      <c r="J17" s="109"/>
      <c r="K17" s="107"/>
      <c r="L17" s="107"/>
      <c r="M17" s="107"/>
      <c r="N17" s="124"/>
      <c r="O17" s="124"/>
      <c r="P17" s="124"/>
      <c r="U17" s="107"/>
    </row>
    <row r="18" spans="1:21" ht="13.35" customHeight="1" x14ac:dyDescent="0.25">
      <c r="A18" s="106">
        <v>15</v>
      </c>
      <c r="B18" s="135"/>
      <c r="C18" s="107"/>
      <c r="D18" s="107"/>
      <c r="E18" s="107"/>
      <c r="F18" s="107"/>
      <c r="G18" s="98"/>
      <c r="H18" s="98"/>
      <c r="I18" s="108"/>
      <c r="J18" s="109"/>
      <c r="K18" s="107"/>
      <c r="L18" s="107"/>
      <c r="M18" s="107"/>
      <c r="N18" s="124"/>
      <c r="O18" s="124"/>
      <c r="P18" s="124"/>
      <c r="U18" s="107"/>
    </row>
    <row r="19" spans="1:21" ht="13.35" customHeight="1" x14ac:dyDescent="0.25">
      <c r="A19" s="106">
        <v>16</v>
      </c>
      <c r="B19" s="135"/>
      <c r="C19" s="107"/>
      <c r="D19" s="107"/>
      <c r="E19" s="107"/>
      <c r="F19" s="107"/>
      <c r="G19" s="98"/>
      <c r="H19" s="98"/>
      <c r="I19" s="108"/>
      <c r="J19" s="109"/>
      <c r="K19" s="107"/>
      <c r="L19" s="107"/>
      <c r="M19" s="107"/>
      <c r="N19" s="124"/>
      <c r="O19" s="124"/>
      <c r="P19" s="124"/>
      <c r="U19" s="107"/>
    </row>
    <row r="20" spans="1:21" ht="13.35" customHeight="1" x14ac:dyDescent="0.25">
      <c r="A20" s="106">
        <v>17</v>
      </c>
      <c r="B20" s="135"/>
      <c r="C20" s="107"/>
      <c r="D20" s="107"/>
      <c r="E20" s="107"/>
      <c r="F20" s="107"/>
      <c r="G20" s="98"/>
      <c r="H20" s="98"/>
      <c r="I20" s="108"/>
      <c r="J20" s="109"/>
      <c r="K20" s="107"/>
      <c r="L20" s="107"/>
      <c r="M20" s="107"/>
      <c r="N20" s="124"/>
      <c r="O20" s="124"/>
      <c r="P20" s="124"/>
      <c r="U20" s="107"/>
    </row>
    <row r="21" spans="1:21" ht="13.35" customHeight="1" x14ac:dyDescent="0.25">
      <c r="A21" s="106">
        <v>18</v>
      </c>
      <c r="B21" s="135"/>
      <c r="C21" s="107"/>
      <c r="D21" s="107"/>
      <c r="E21" s="107"/>
      <c r="F21" s="107"/>
      <c r="G21" s="98"/>
      <c r="H21" s="98"/>
      <c r="I21" s="108"/>
      <c r="J21" s="109"/>
      <c r="K21" s="107"/>
      <c r="L21" s="107"/>
      <c r="M21" s="107"/>
      <c r="N21" s="124"/>
      <c r="O21" s="124"/>
      <c r="P21" s="124"/>
      <c r="U21" s="107"/>
    </row>
    <row r="22" spans="1:21" ht="13.35" customHeight="1" x14ac:dyDescent="0.25">
      <c r="A22" s="106">
        <v>19</v>
      </c>
      <c r="B22" s="135"/>
      <c r="C22" s="107"/>
      <c r="D22" s="107"/>
      <c r="E22" s="107"/>
      <c r="F22" s="107"/>
      <c r="G22" s="98"/>
      <c r="H22" s="98"/>
      <c r="I22" s="108"/>
      <c r="J22" s="109"/>
      <c r="K22" s="107"/>
      <c r="L22" s="107"/>
      <c r="M22" s="107"/>
      <c r="N22" s="124"/>
      <c r="O22" s="124"/>
      <c r="P22" s="124"/>
      <c r="U22" s="107"/>
    </row>
    <row r="23" spans="1:21" ht="13.35" customHeight="1" x14ac:dyDescent="0.25">
      <c r="A23" s="106">
        <v>20</v>
      </c>
      <c r="B23" s="135"/>
      <c r="C23" s="107"/>
      <c r="D23" s="107"/>
      <c r="E23" s="107"/>
      <c r="F23" s="107"/>
      <c r="G23" s="98"/>
      <c r="H23" s="98"/>
      <c r="I23" s="108"/>
      <c r="J23" s="109"/>
      <c r="K23" s="107"/>
      <c r="L23" s="107"/>
      <c r="M23" s="107"/>
      <c r="N23" s="124"/>
      <c r="O23" s="124"/>
      <c r="P23" s="124"/>
      <c r="U23" s="107"/>
    </row>
    <row r="24" spans="1:21" ht="10.9" customHeight="1" x14ac:dyDescent="0.25">
      <c r="A24" s="3"/>
      <c r="B24" s="3"/>
      <c r="C24" s="84">
        <f>SUM(C4:C23)</f>
        <v>1856</v>
      </c>
      <c r="D24" s="83">
        <f>SUM(D4:D23)</f>
        <v>75730.71912261832</v>
      </c>
      <c r="E24" s="19"/>
      <c r="F24" s="35">
        <f>SUM(F4:F23)</f>
        <v>17</v>
      </c>
      <c r="H24" s="3"/>
      <c r="I24" s="31" t="s">
        <v>34</v>
      </c>
      <c r="J24" s="136">
        <f>SUM(J4:J23)</f>
        <v>82991.399999999994</v>
      </c>
      <c r="K24" s="139">
        <f>SUM(K4:K23)</f>
        <v>1</v>
      </c>
      <c r="L24" s="89">
        <f>SUM(L4:L23)</f>
        <v>7260.6808773816656</v>
      </c>
      <c r="M24" s="90">
        <f>L24/D24</f>
        <v>9.5874975987295691E-2</v>
      </c>
      <c r="O24" s="20"/>
    </row>
    <row r="25" spans="1:21" ht="10.9" customHeight="1" x14ac:dyDescent="0.25">
      <c r="I25" s="30" t="s">
        <v>25</v>
      </c>
      <c r="J25" s="137">
        <v>204</v>
      </c>
      <c r="O25" s="5"/>
    </row>
    <row r="26" spans="1:21" ht="10.9" customHeight="1" x14ac:dyDescent="0.25">
      <c r="I26" s="6" t="s">
        <v>41</v>
      </c>
      <c r="J26" s="138">
        <f>J24+J25</f>
        <v>83195.399999999994</v>
      </c>
    </row>
    <row r="27" spans="1:21" ht="10.9" customHeight="1" x14ac:dyDescent="0.25">
      <c r="B27" s="145" t="s">
        <v>95</v>
      </c>
      <c r="C27" s="146"/>
      <c r="D27" s="175" t="s">
        <v>96</v>
      </c>
      <c r="E27" s="176" t="s">
        <v>94</v>
      </c>
      <c r="J27" s="26"/>
    </row>
    <row r="28" spans="1:21" ht="10.9" customHeight="1" x14ac:dyDescent="0.25">
      <c r="B28" s="147" t="s">
        <v>10</v>
      </c>
      <c r="C28" s="148">
        <f>SUMIFS($J$3:$J$46,$G$3:$G$46,B28)</f>
        <v>48685.8</v>
      </c>
      <c r="D28" s="149">
        <f>C28/$C$32</f>
        <v>0.58663668765679333</v>
      </c>
      <c r="E28" s="150">
        <f>COUNTIF($G$3:$G$46,B28)</f>
        <v>4</v>
      </c>
      <c r="I28" t="s">
        <v>64</v>
      </c>
      <c r="J28" s="201" t="str">
        <f>[1]!atwood</f>
        <v>72.316 K</v>
      </c>
    </row>
    <row r="29" spans="1:21" ht="10.9" customHeight="1" x14ac:dyDescent="0.25">
      <c r="B29" s="147" t="s">
        <v>11</v>
      </c>
      <c r="C29" s="148">
        <f>SUMIFS($J$3:$J$46,$G$3:$G$46,B29)</f>
        <v>8616</v>
      </c>
      <c r="D29" s="149">
        <f>C29/$C$32</f>
        <v>0.10381798595999102</v>
      </c>
      <c r="E29" s="150">
        <f>COUNTIF($G$3:$G$46,B29)</f>
        <v>1</v>
      </c>
    </row>
    <row r="30" spans="1:21" ht="10.9" customHeight="1" x14ac:dyDescent="0.25">
      <c r="B30" s="147" t="s">
        <v>12</v>
      </c>
      <c r="C30" s="148">
        <f>SUMIFS($J$3:$J$46,$G$3:$G$46,B30)</f>
        <v>10680</v>
      </c>
      <c r="D30" s="149">
        <f>C30/$C$32</f>
        <v>0.12868803273592203</v>
      </c>
      <c r="E30" s="150">
        <f>COUNTIF($G$3:$G$46,B30)</f>
        <v>1</v>
      </c>
      <c r="J30" s="142" t="s">
        <v>65</v>
      </c>
      <c r="K30" s="140">
        <f>COUNTIF(Tabela1[cotação],"&gt;0")</f>
        <v>7</v>
      </c>
    </row>
    <row r="31" spans="1:21" ht="10.9" customHeight="1" x14ac:dyDescent="0.25">
      <c r="B31" s="151" t="s">
        <v>13</v>
      </c>
      <c r="C31" s="148">
        <f>SUMIFS($J$3:$J$46,$G$3:$G$46,B31)</f>
        <v>15009.6</v>
      </c>
      <c r="D31" s="152">
        <f>C31/$C$32</f>
        <v>0.18085729364729355</v>
      </c>
      <c r="E31" s="150">
        <f>COUNTIF($G$3:$G$46,B31)</f>
        <v>1</v>
      </c>
      <c r="J31" s="96"/>
      <c r="K31" s="141" t="str">
        <f>IF(K30=6,"aberto","falta cot")</f>
        <v>falta cot</v>
      </c>
    </row>
    <row r="32" spans="1:21" ht="10.9" customHeight="1" x14ac:dyDescent="0.25">
      <c r="B32" s="107"/>
      <c r="C32" s="153">
        <f>SUM(C28:C31)</f>
        <v>82991.400000000009</v>
      </c>
      <c r="D32" s="154">
        <f>SUM(D28:D31)</f>
        <v>0.99999999999999989</v>
      </c>
      <c r="E32" s="107">
        <f>SUM(E28:E31)</f>
        <v>7</v>
      </c>
      <c r="F32" s="5"/>
    </row>
    <row r="33" spans="2:11" x14ac:dyDescent="0.25">
      <c r="E33" s="5"/>
      <c r="F33" s="5"/>
    </row>
    <row r="34" spans="2:11" x14ac:dyDescent="0.25">
      <c r="B34" s="156" t="s">
        <v>86</v>
      </c>
      <c r="C34" s="157"/>
      <c r="D34" s="158"/>
      <c r="J34" s="166" t="s">
        <v>89</v>
      </c>
      <c r="K34" s="165"/>
    </row>
    <row r="35" spans="2:11" x14ac:dyDescent="0.25">
      <c r="B35" s="159" t="s">
        <v>87</v>
      </c>
      <c r="C35" s="160">
        <f>SUMIFS($J$3:$J$46,$H$3:$H$46,B35)</f>
        <v>59921.8</v>
      </c>
      <c r="D35" s="161">
        <f>C35/$C$37</f>
        <v>0.72202420973739456</v>
      </c>
      <c r="J35" s="167" t="s">
        <v>90</v>
      </c>
      <c r="K35" s="168">
        <f>COUNTIF(O4:O23,"&gt;0")</f>
        <v>6</v>
      </c>
    </row>
    <row r="36" spans="2:11" x14ac:dyDescent="0.25">
      <c r="B36" s="162" t="s">
        <v>88</v>
      </c>
      <c r="C36" s="163">
        <f>SUMIFS($J$3:$J$46,$H$3:$H$46,B36)</f>
        <v>23069.599999999999</v>
      </c>
      <c r="D36" s="161">
        <f>C36/$C$37</f>
        <v>0.27797579026260555</v>
      </c>
      <c r="J36" s="169" t="s">
        <v>91</v>
      </c>
      <c r="K36" s="170">
        <f>COUNTIF(O4:O23,"&lt;0")</f>
        <v>1</v>
      </c>
    </row>
    <row r="37" spans="2:11" x14ac:dyDescent="0.25">
      <c r="B37" s="107"/>
      <c r="C37" s="155">
        <f>SUM(C35:C36)</f>
        <v>82991.399999999994</v>
      </c>
      <c r="D37" s="164">
        <f>SUM(D35:D36)</f>
        <v>1</v>
      </c>
      <c r="J37" s="171" t="s">
        <v>92</v>
      </c>
      <c r="K37" s="172">
        <f>COUNTIF(O4:O23,"=0")</f>
        <v>0</v>
      </c>
    </row>
    <row r="38" spans="2:11" x14ac:dyDescent="0.25">
      <c r="B38" s="107"/>
      <c r="C38" s="165"/>
      <c r="D38" s="107"/>
      <c r="J38" s="107"/>
      <c r="K38" s="173">
        <f>SUM(K35:K37)</f>
        <v>7</v>
      </c>
    </row>
    <row r="39" spans="2:11" x14ac:dyDescent="0.25">
      <c r="B39" s="202" t="s">
        <v>52</v>
      </c>
      <c r="C39" s="208">
        <f>[1]!ibov.var</f>
        <v>-2.0000000000000001E-4</v>
      </c>
      <c r="D39" s="205">
        <f>[1]!ibov</f>
        <v>110791</v>
      </c>
    </row>
    <row r="40" spans="2:11" x14ac:dyDescent="0.25">
      <c r="B40" s="203" t="s">
        <v>98</v>
      </c>
      <c r="C40" s="209">
        <f>[1]!PETR4.var</f>
        <v>1.8700000000000001E-2</v>
      </c>
      <c r="D40" s="206">
        <f>[1]!PETR4</f>
        <v>24.54</v>
      </c>
      <c r="I40" t="s">
        <v>100</v>
      </c>
      <c r="K40" s="138">
        <v>82620</v>
      </c>
    </row>
    <row r="41" spans="2:11" x14ac:dyDescent="0.25">
      <c r="B41" s="203" t="s">
        <v>47</v>
      </c>
      <c r="C41" s="209">
        <f>[1]!VALE3.var</f>
        <v>6.7999999999999996E-3</v>
      </c>
      <c r="D41" s="206">
        <f>[1]!vale3</f>
        <v>94.22</v>
      </c>
    </row>
    <row r="42" spans="2:11" x14ac:dyDescent="0.25">
      <c r="B42" s="204" t="s">
        <v>97</v>
      </c>
      <c r="C42" s="210">
        <f>[1]!euscom.var</f>
        <v>-1.1999999999999999E-3</v>
      </c>
      <c r="D42" s="207">
        <f>[1]!euscom</f>
        <v>5.1970000000000001</v>
      </c>
    </row>
    <row r="43" spans="2:11" x14ac:dyDescent="0.25">
      <c r="B43" s="107"/>
      <c r="C43" s="165"/>
      <c r="D43" s="107"/>
    </row>
    <row r="44" spans="2:11" x14ac:dyDescent="0.25">
      <c r="D44" s="107"/>
    </row>
    <row r="45" spans="2:11" x14ac:dyDescent="0.25">
      <c r="D45" s="107"/>
    </row>
    <row r="46" spans="2:11" x14ac:dyDescent="0.25">
      <c r="D46" s="107"/>
    </row>
    <row r="47" spans="2:11" x14ac:dyDescent="0.25">
      <c r="D47" s="107"/>
    </row>
    <row r="48" spans="2:11" x14ac:dyDescent="0.25">
      <c r="D48" s="10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U26"/>
  <sheetViews>
    <sheetView workbookViewId="0">
      <selection activeCell="S9" sqref="S9"/>
    </sheetView>
  </sheetViews>
  <sheetFormatPr defaultRowHeight="15" x14ac:dyDescent="0.25"/>
  <cols>
    <col min="1" max="1" width="10.28515625" customWidth="1"/>
    <col min="2" max="2" width="7.28515625" customWidth="1"/>
    <col min="3" max="3" width="6.140625" customWidth="1"/>
    <col min="4" max="4" width="10.42578125" customWidth="1"/>
    <col min="5" max="5" width="8" customWidth="1"/>
    <col min="6" max="6" width="8.42578125" customWidth="1"/>
    <col min="7" max="7" width="7.42578125" customWidth="1"/>
    <col min="8" max="8" width="1.28515625" customWidth="1"/>
    <col min="9" max="9" width="0.7109375" customWidth="1"/>
    <col min="10" max="10" width="1.28515625" customWidth="1"/>
    <col min="13" max="13" width="10.140625" customWidth="1"/>
    <col min="14" max="14" width="8.28515625" customWidth="1"/>
    <col min="15" max="15" width="9.140625" customWidth="1"/>
    <col min="16" max="16" width="7.7109375" customWidth="1"/>
    <col min="19" max="19" width="5.42578125" customWidth="1"/>
    <col min="20" max="20" width="2.5703125" customWidth="1"/>
    <col min="21" max="21" width="6.7109375" customWidth="1"/>
  </cols>
  <sheetData>
    <row r="1" spans="1:21" ht="18.75" customHeight="1" x14ac:dyDescent="0.3">
      <c r="A1" s="132" t="s">
        <v>83</v>
      </c>
      <c r="K1" s="132" t="s">
        <v>82</v>
      </c>
    </row>
    <row r="2" spans="1:21" x14ac:dyDescent="0.25">
      <c r="A2" s="131" t="s">
        <v>2</v>
      </c>
      <c r="B2" s="131" t="s">
        <v>5</v>
      </c>
      <c r="C2" s="131" t="s">
        <v>0</v>
      </c>
      <c r="D2" s="131" t="s">
        <v>75</v>
      </c>
      <c r="E2" s="131" t="s">
        <v>22</v>
      </c>
      <c r="F2" s="131" t="s">
        <v>48</v>
      </c>
      <c r="G2" s="131" t="s">
        <v>72</v>
      </c>
      <c r="I2" s="68" t="s">
        <v>70</v>
      </c>
      <c r="K2" s="127" t="s">
        <v>63</v>
      </c>
      <c r="L2" s="127" t="s">
        <v>6</v>
      </c>
      <c r="M2" s="127" t="s">
        <v>76</v>
      </c>
      <c r="N2" s="127" t="s">
        <v>77</v>
      </c>
      <c r="O2" s="127" t="s">
        <v>78</v>
      </c>
      <c r="P2" s="127" t="s">
        <v>79</v>
      </c>
      <c r="Q2" s="127" t="s">
        <v>80</v>
      </c>
      <c r="R2" s="127" t="s">
        <v>81</v>
      </c>
      <c r="S2" s="127" t="s">
        <v>72</v>
      </c>
    </row>
    <row r="3" spans="1:21" x14ac:dyDescent="0.3">
      <c r="A3" s="66">
        <v>44784</v>
      </c>
      <c r="B3" s="119" t="s">
        <v>60</v>
      </c>
      <c r="C3" s="65">
        <v>100</v>
      </c>
      <c r="D3" s="69">
        <v>121</v>
      </c>
      <c r="E3" s="118" t="s">
        <v>69</v>
      </c>
      <c r="F3" s="67">
        <f t="shared" ref="F3:F13" si="0">D3/C3</f>
        <v>1.21</v>
      </c>
      <c r="G3" s="120">
        <f>F3/[1]!KNCA11</f>
        <v>1.1329588014981273E-2</v>
      </c>
      <c r="I3" t="str">
        <f>"l;"&amp;TEXT(A3,"dd/mm/aaaa hh:mm")&amp;";C;"&amp;D3&amp;";"&amp;E3&amp;":"&amp;B3</f>
        <v>l;11/08/2022 00:00;C;121;REND FI:KNCA11</v>
      </c>
      <c r="J3" t="s">
        <v>71</v>
      </c>
      <c r="K3" s="128">
        <v>2</v>
      </c>
      <c r="L3" s="7" t="s">
        <v>47</v>
      </c>
      <c r="M3" s="129">
        <f t="shared" ref="M3:M9" si="1">SUMIFS($D$3:$D$22,$B$3:$B$22,L3)</f>
        <v>801.88</v>
      </c>
      <c r="N3" s="26">
        <f t="shared" ref="N3:N9" si="2">COUNTIFS($B$3:$B$22,L3)</f>
        <v>2</v>
      </c>
      <c r="O3" s="126">
        <f>M3/N3</f>
        <v>400.94</v>
      </c>
      <c r="P3" s="26">
        <v>240</v>
      </c>
      <c r="Q3" s="130">
        <f>[1]!vale3</f>
        <v>94.22</v>
      </c>
      <c r="R3" s="126">
        <f t="shared" ref="R3:R9" si="3">P3*Q3</f>
        <v>22612.799999999999</v>
      </c>
      <c r="S3" s="120">
        <f t="shared" ref="S3:S9" si="4">M3/R3</f>
        <v>3.5461331635180074E-2</v>
      </c>
    </row>
    <row r="4" spans="1:21" x14ac:dyDescent="0.3">
      <c r="A4" s="66">
        <v>44803</v>
      </c>
      <c r="B4" s="119" t="s">
        <v>56</v>
      </c>
      <c r="C4" s="65">
        <v>500</v>
      </c>
      <c r="D4" s="69">
        <v>130.27000000000001</v>
      </c>
      <c r="E4" s="118" t="s">
        <v>68</v>
      </c>
      <c r="F4" s="67">
        <f t="shared" si="0"/>
        <v>0.26053999999999999</v>
      </c>
      <c r="G4" s="120">
        <f>F4/[1]!ITUB4</f>
        <v>9.9404807325448302E-3</v>
      </c>
      <c r="I4" t="str">
        <f>"l;"&amp;TEXT(A4,"dd/mm/aaaa hh:mm")&amp;";C;"&amp;D4&amp;";"&amp;E4&amp;":"&amp;B4</f>
        <v>l;30/08/2022 00:00;C;130.27;JCP:ITUB4</v>
      </c>
      <c r="J4" t="s">
        <v>71</v>
      </c>
      <c r="K4" s="128">
        <v>6</v>
      </c>
      <c r="L4" s="7" t="s">
        <v>60</v>
      </c>
      <c r="M4" s="129">
        <f t="shared" si="1"/>
        <v>692</v>
      </c>
      <c r="N4" s="26">
        <f t="shared" si="2"/>
        <v>5</v>
      </c>
      <c r="O4" s="126">
        <f>M4/N4</f>
        <v>138.4</v>
      </c>
      <c r="P4" s="26">
        <v>100</v>
      </c>
      <c r="Q4" s="130">
        <f>[1]!KNCA11</f>
        <v>106.8</v>
      </c>
      <c r="R4" s="126">
        <f t="shared" si="3"/>
        <v>10680</v>
      </c>
      <c r="S4" s="120">
        <f t="shared" si="4"/>
        <v>6.4794007490636699E-2</v>
      </c>
    </row>
    <row r="5" spans="1:21" x14ac:dyDescent="0.3">
      <c r="A5" s="66">
        <v>44805</v>
      </c>
      <c r="B5" s="119" t="s">
        <v>47</v>
      </c>
      <c r="C5" s="65">
        <v>240</v>
      </c>
      <c r="D5" s="69">
        <v>487.84</v>
      </c>
      <c r="E5" s="118" t="s">
        <v>67</v>
      </c>
      <c r="F5" s="67">
        <f t="shared" si="0"/>
        <v>2.0326666666666666</v>
      </c>
      <c r="G5" s="120">
        <f>F5/[1]!vale3</f>
        <v>2.1573622019387249E-2</v>
      </c>
      <c r="I5" t="str">
        <f>"l;"&amp;TEXT(A5,"dd/mm/aaaa hh:mm")&amp;";C;"&amp;D5&amp;";"&amp;E5&amp;":"&amp;B5</f>
        <v>l;01/09/2022 00:00;C;487.84;DIV:VALE3</v>
      </c>
      <c r="J5" t="s">
        <v>71</v>
      </c>
      <c r="K5" s="128">
        <v>1</v>
      </c>
      <c r="L5" s="7" t="s">
        <v>56</v>
      </c>
      <c r="M5" s="129">
        <f t="shared" si="1"/>
        <v>160.27000000000001</v>
      </c>
      <c r="N5" s="26">
        <f t="shared" si="2"/>
        <v>5</v>
      </c>
      <c r="O5" s="126">
        <f>M5/N5</f>
        <v>32.054000000000002</v>
      </c>
      <c r="P5" s="26">
        <v>500</v>
      </c>
      <c r="Q5" s="130">
        <f>[1]!ITUB4</f>
        <v>26.21</v>
      </c>
      <c r="R5" s="126">
        <f t="shared" si="3"/>
        <v>13105</v>
      </c>
      <c r="S5" s="120">
        <f t="shared" si="4"/>
        <v>1.2229683326974439E-2</v>
      </c>
    </row>
    <row r="6" spans="1:21" x14ac:dyDescent="0.3">
      <c r="A6" s="66">
        <v>44805</v>
      </c>
      <c r="B6" s="119" t="s">
        <v>56</v>
      </c>
      <c r="C6" s="65">
        <v>500</v>
      </c>
      <c r="D6" s="69">
        <v>7.5</v>
      </c>
      <c r="E6" s="118" t="s">
        <v>68</v>
      </c>
      <c r="F6" s="67">
        <f t="shared" si="0"/>
        <v>1.4999999999999999E-2</v>
      </c>
      <c r="G6" s="120">
        <f>F6/[1]!ITUB4</f>
        <v>5.7230064860740171E-4</v>
      </c>
      <c r="I6" t="str">
        <f>"l;"&amp;TEXT(A6,"dd/mm/aaaa hh:mm")&amp;";C;"&amp;D6&amp;";"&amp;E6&amp;":"&amp;B6</f>
        <v>l;01/09/2022 00:00;C;7.5;JCP:ITUB4</v>
      </c>
      <c r="J6" t="s">
        <v>71</v>
      </c>
      <c r="K6" s="128">
        <v>4</v>
      </c>
      <c r="L6" s="7" t="s">
        <v>58</v>
      </c>
      <c r="M6" s="129">
        <f t="shared" si="1"/>
        <v>32.950000000000003</v>
      </c>
      <c r="N6" s="26">
        <f t="shared" si="2"/>
        <v>1</v>
      </c>
      <c r="O6" s="126">
        <f>M6/N6</f>
        <v>32.950000000000003</v>
      </c>
      <c r="P6" s="26">
        <v>636</v>
      </c>
      <c r="Q6" s="130">
        <f>[1]!AMZO34</f>
        <v>23.6</v>
      </c>
      <c r="R6" s="126">
        <f t="shared" si="3"/>
        <v>15009.6</v>
      </c>
      <c r="S6" s="120">
        <f t="shared" si="4"/>
        <v>2.195261699179192E-3</v>
      </c>
    </row>
    <row r="7" spans="1:21" x14ac:dyDescent="0.3">
      <c r="A7" s="66">
        <v>44805</v>
      </c>
      <c r="B7" s="119" t="s">
        <v>47</v>
      </c>
      <c r="C7" s="65">
        <v>240</v>
      </c>
      <c r="D7" s="69">
        <v>314.04000000000002</v>
      </c>
      <c r="E7" s="118" t="s">
        <v>68</v>
      </c>
      <c r="F7" s="67">
        <f t="shared" si="0"/>
        <v>1.3085</v>
      </c>
      <c r="G7" s="120">
        <f>F7/[1]!vale3</f>
        <v>1.3887709615792826E-2</v>
      </c>
      <c r="I7" t="str">
        <f>"l;"&amp;TEXT(A7,"dd/mm/aaaa hh:mm")&amp;";C;"&amp;D7&amp;";"&amp;E7&amp;":"&amp;B7</f>
        <v>l;01/09/2022 00:00;C;314.04;JCP:VALE3</v>
      </c>
      <c r="J7" t="s">
        <v>71</v>
      </c>
      <c r="K7" s="128">
        <v>3</v>
      </c>
      <c r="L7" s="7" t="s">
        <v>57</v>
      </c>
      <c r="M7" s="129">
        <f t="shared" si="1"/>
        <v>0</v>
      </c>
      <c r="N7" s="26">
        <f t="shared" si="2"/>
        <v>0</v>
      </c>
      <c r="O7" s="126"/>
      <c r="P7" s="26">
        <v>100</v>
      </c>
      <c r="Q7" s="130">
        <f>[1]!xpbr31</f>
        <v>80.599999999999994</v>
      </c>
      <c r="R7" s="126">
        <f t="shared" si="3"/>
        <v>8059.9999999999991</v>
      </c>
      <c r="S7" s="120">
        <f t="shared" si="4"/>
        <v>0</v>
      </c>
    </row>
    <row r="8" spans="1:21" x14ac:dyDescent="0.3">
      <c r="A8" s="66">
        <v>44810</v>
      </c>
      <c r="B8" s="119" t="s">
        <v>58</v>
      </c>
      <c r="C8" s="65">
        <v>638</v>
      </c>
      <c r="D8" s="69">
        <v>32.950000000000003</v>
      </c>
      <c r="E8" s="118" t="s">
        <v>67</v>
      </c>
      <c r="F8" s="67">
        <f t="shared" si="0"/>
        <v>5.1645768025078372E-2</v>
      </c>
      <c r="G8" s="120">
        <f>F8/[1]!AMZO34</f>
        <v>2.1883800010626428E-3</v>
      </c>
      <c r="K8" s="128">
        <v>5</v>
      </c>
      <c r="L8" s="7" t="s">
        <v>59</v>
      </c>
      <c r="M8" s="129">
        <f t="shared" si="1"/>
        <v>0</v>
      </c>
      <c r="N8" s="26">
        <f t="shared" si="2"/>
        <v>0</v>
      </c>
      <c r="O8" s="126"/>
      <c r="P8" s="26">
        <v>100</v>
      </c>
      <c r="Q8" s="130">
        <f>[1]!BOVA11</f>
        <v>107.7</v>
      </c>
      <c r="R8" s="126">
        <f t="shared" si="3"/>
        <v>10770</v>
      </c>
      <c r="S8" s="120">
        <f t="shared" si="4"/>
        <v>0</v>
      </c>
    </row>
    <row r="9" spans="1:21" x14ac:dyDescent="0.25">
      <c r="A9" s="66">
        <v>44818</v>
      </c>
      <c r="B9" s="119" t="s">
        <v>60</v>
      </c>
      <c r="C9" s="65">
        <v>100</v>
      </c>
      <c r="D9" s="69">
        <v>146</v>
      </c>
      <c r="E9" s="118" t="s">
        <v>69</v>
      </c>
      <c r="F9" s="67">
        <f t="shared" si="0"/>
        <v>1.46</v>
      </c>
      <c r="G9" s="120">
        <f>F9/[1]!KNCA11</f>
        <v>1.3670411985018727E-2</v>
      </c>
      <c r="K9" s="128">
        <v>7</v>
      </c>
      <c r="L9" s="7" t="s">
        <v>98</v>
      </c>
      <c r="M9" s="129">
        <f t="shared" si="1"/>
        <v>0</v>
      </c>
      <c r="N9" s="26">
        <f t="shared" si="2"/>
        <v>0</v>
      </c>
      <c r="O9" s="126"/>
      <c r="P9" s="26">
        <v>200</v>
      </c>
      <c r="Q9" s="130">
        <f>[1]!PETR4</f>
        <v>24.54</v>
      </c>
      <c r="R9" s="126">
        <f t="shared" si="3"/>
        <v>4908</v>
      </c>
      <c r="S9" s="120">
        <f t="shared" si="4"/>
        <v>0</v>
      </c>
    </row>
    <row r="10" spans="1:21" x14ac:dyDescent="0.25">
      <c r="A10" s="66">
        <v>44848</v>
      </c>
      <c r="B10" s="119" t="s">
        <v>60</v>
      </c>
      <c r="C10" s="65">
        <v>100</v>
      </c>
      <c r="D10" s="69">
        <v>140</v>
      </c>
      <c r="E10" s="118" t="s">
        <v>69</v>
      </c>
      <c r="F10" s="67">
        <f t="shared" si="0"/>
        <v>1.4</v>
      </c>
      <c r="G10" s="120">
        <f>F10/[1]!KNCA11</f>
        <v>1.3108614232209737E-2</v>
      </c>
      <c r="K10" s="128">
        <v>8</v>
      </c>
      <c r="L10" s="109"/>
      <c r="M10" s="109"/>
      <c r="N10" s="26"/>
      <c r="O10" s="26"/>
      <c r="P10" s="26"/>
      <c r="Q10" s="130"/>
      <c r="R10" s="26"/>
      <c r="S10" s="26"/>
    </row>
    <row r="11" spans="1:21" x14ac:dyDescent="0.25">
      <c r="A11" s="66">
        <v>44866</v>
      </c>
      <c r="B11" s="119" t="s">
        <v>56</v>
      </c>
      <c r="C11" s="65">
        <v>500</v>
      </c>
      <c r="D11" s="69">
        <v>7.5</v>
      </c>
      <c r="E11" s="118" t="s">
        <v>68</v>
      </c>
      <c r="F11" s="67">
        <f t="shared" si="0"/>
        <v>1.4999999999999999E-2</v>
      </c>
      <c r="G11" s="120">
        <f>F11/[1]!ITUB4</f>
        <v>5.7230064860740171E-4</v>
      </c>
      <c r="K11" s="128">
        <v>9</v>
      </c>
      <c r="L11" s="109"/>
      <c r="M11" s="109"/>
      <c r="N11" s="26"/>
      <c r="O11" s="26"/>
      <c r="P11" s="26"/>
      <c r="Q11" s="130"/>
      <c r="R11" s="26"/>
      <c r="S11" s="26"/>
    </row>
    <row r="12" spans="1:21" x14ac:dyDescent="0.25">
      <c r="A12" s="66">
        <v>44879</v>
      </c>
      <c r="B12" s="119" t="s">
        <v>60</v>
      </c>
      <c r="C12" s="65">
        <v>100</v>
      </c>
      <c r="D12" s="69">
        <v>145</v>
      </c>
      <c r="E12" s="118" t="s">
        <v>69</v>
      </c>
      <c r="F12" s="67">
        <f t="shared" si="0"/>
        <v>1.45</v>
      </c>
      <c r="G12" s="120">
        <f>F12/[1]!KNCA11</f>
        <v>1.3576779026217229E-2</v>
      </c>
      <c r="K12" s="128">
        <v>10</v>
      </c>
      <c r="L12" s="109"/>
      <c r="M12" s="109"/>
      <c r="N12" s="26"/>
      <c r="O12" s="26"/>
      <c r="P12" s="26"/>
      <c r="Q12" s="130"/>
      <c r="R12" s="26"/>
      <c r="S12" s="26"/>
    </row>
    <row r="13" spans="1:21" x14ac:dyDescent="0.25">
      <c r="A13" s="66">
        <v>44896</v>
      </c>
      <c r="B13" s="119" t="s">
        <v>56</v>
      </c>
      <c r="C13" s="65">
        <v>500</v>
      </c>
      <c r="D13" s="69">
        <v>7.5</v>
      </c>
      <c r="E13" s="118" t="s">
        <v>68</v>
      </c>
      <c r="F13" s="67">
        <f t="shared" si="0"/>
        <v>1.4999999999999999E-2</v>
      </c>
      <c r="G13" s="120">
        <f>F13/[1]!ITUB4</f>
        <v>5.7230064860740171E-4</v>
      </c>
      <c r="K13" s="128"/>
      <c r="L13" s="109"/>
      <c r="M13" s="129">
        <f>SUM(Tabela2[rendimento])</f>
        <v>1687.1000000000001</v>
      </c>
      <c r="N13" s="26"/>
      <c r="O13" s="26"/>
      <c r="P13" s="26"/>
      <c r="Q13" s="130"/>
      <c r="R13" s="26"/>
      <c r="S13" s="26"/>
    </row>
    <row r="14" spans="1:21" x14ac:dyDescent="0.25">
      <c r="A14" s="66">
        <v>44908</v>
      </c>
      <c r="B14" s="119" t="s">
        <v>60</v>
      </c>
      <c r="C14" s="65">
        <v>100</v>
      </c>
      <c r="D14" s="69">
        <v>140</v>
      </c>
      <c r="E14" s="118" t="s">
        <v>69</v>
      </c>
      <c r="F14" s="67">
        <f t="shared" ref="F14" si="5">D14/C14</f>
        <v>1.4</v>
      </c>
      <c r="G14" s="120">
        <f>F14/[1]!KNCA11</f>
        <v>1.3108614232209737E-2</v>
      </c>
    </row>
    <row r="15" spans="1:21" x14ac:dyDescent="0.25">
      <c r="A15" s="66">
        <v>44928</v>
      </c>
      <c r="B15" s="119" t="s">
        <v>56</v>
      </c>
      <c r="C15" s="65">
        <v>500</v>
      </c>
      <c r="D15" s="69">
        <v>7.5</v>
      </c>
      <c r="E15" s="118" t="s">
        <v>68</v>
      </c>
      <c r="F15" s="67">
        <f t="shared" ref="F15" si="6">D15/C15</f>
        <v>1.4999999999999999E-2</v>
      </c>
      <c r="G15" s="120">
        <f>F15/[1]!ITUB4</f>
        <v>5.7230064860740171E-4</v>
      </c>
    </row>
    <row r="16" spans="1:21" x14ac:dyDescent="0.25">
      <c r="A16" s="66"/>
      <c r="B16" s="119"/>
      <c r="C16" s="65"/>
      <c r="D16" s="69"/>
      <c r="E16" s="63"/>
      <c r="G16" s="120"/>
      <c r="S16" s="177"/>
      <c r="T16" s="178"/>
      <c r="U16" s="179"/>
    </row>
    <row r="17" spans="1:21" x14ac:dyDescent="0.25">
      <c r="A17" s="66"/>
      <c r="B17" s="119"/>
      <c r="C17" s="65"/>
      <c r="D17" s="69"/>
      <c r="E17" s="63"/>
      <c r="G17" s="120"/>
      <c r="S17" s="70"/>
      <c r="T17" s="180"/>
      <c r="U17" s="71"/>
    </row>
    <row r="18" spans="1:21" x14ac:dyDescent="0.25">
      <c r="A18" s="66"/>
      <c r="B18" s="119"/>
      <c r="C18" s="65"/>
      <c r="D18" s="69"/>
      <c r="E18" s="63"/>
      <c r="G18" s="120"/>
      <c r="S18" s="181"/>
      <c r="T18" s="182"/>
      <c r="U18" s="183"/>
    </row>
    <row r="19" spans="1:21" x14ac:dyDescent="0.25">
      <c r="A19" s="66"/>
      <c r="B19" s="119"/>
      <c r="C19" s="65"/>
      <c r="D19" s="69"/>
      <c r="E19" s="63"/>
      <c r="G19" s="120"/>
      <c r="U19" s="184"/>
    </row>
    <row r="20" spans="1:21" x14ac:dyDescent="0.25">
      <c r="B20" s="119"/>
      <c r="D20" s="69"/>
      <c r="G20" s="120"/>
      <c r="S20" s="36"/>
      <c r="T20" s="185"/>
      <c r="U20" s="186"/>
    </row>
    <row r="21" spans="1:21" x14ac:dyDescent="0.25">
      <c r="B21" s="119"/>
      <c r="D21" s="69"/>
      <c r="G21" s="120"/>
      <c r="S21" s="187"/>
      <c r="T21" s="188"/>
      <c r="U21" s="189"/>
    </row>
    <row r="22" spans="1:21" x14ac:dyDescent="0.25">
      <c r="B22" s="119"/>
      <c r="D22" s="69"/>
      <c r="G22" s="120"/>
      <c r="S22" s="42"/>
      <c r="T22" s="190"/>
      <c r="U22" s="191"/>
    </row>
    <row r="23" spans="1:21" x14ac:dyDescent="0.25">
      <c r="B23" s="119"/>
      <c r="D23" s="3">
        <f>SUM(D3:D22)</f>
        <v>1687.1000000000001</v>
      </c>
      <c r="G23" s="120"/>
      <c r="U23" s="184"/>
    </row>
    <row r="24" spans="1:21" x14ac:dyDescent="0.25">
      <c r="S24" s="192"/>
      <c r="T24" s="193"/>
      <c r="U24" s="194"/>
    </row>
    <row r="25" spans="1:21" x14ac:dyDescent="0.25">
      <c r="S25" s="195"/>
      <c r="T25" s="196"/>
      <c r="U25" s="197"/>
    </row>
    <row r="26" spans="1:21" x14ac:dyDescent="0.25">
      <c r="S26" s="198"/>
      <c r="T26" s="199"/>
      <c r="U26" s="200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J26"/>
  <sheetViews>
    <sheetView workbookViewId="0">
      <selection activeCell="D25" sqref="D25"/>
    </sheetView>
  </sheetViews>
  <sheetFormatPr defaultRowHeight="15" x14ac:dyDescent="0.25"/>
  <cols>
    <col min="1" max="1" width="13.7109375" customWidth="1"/>
    <col min="2" max="2" width="12.85546875" customWidth="1"/>
    <col min="3" max="3" width="12" customWidth="1"/>
    <col min="4" max="4" width="9.140625" customWidth="1"/>
    <col min="9" max="9" width="11.7109375" customWidth="1"/>
  </cols>
  <sheetData>
    <row r="1" spans="1:10" x14ac:dyDescent="0.25">
      <c r="A1" s="85" t="s">
        <v>49</v>
      </c>
      <c r="H1" s="74" t="s">
        <v>5</v>
      </c>
      <c r="I1" s="75" t="s">
        <v>14</v>
      </c>
    </row>
    <row r="2" spans="1:10" x14ac:dyDescent="0.25">
      <c r="A2" s="76" t="s">
        <v>2</v>
      </c>
      <c r="B2" s="76" t="s">
        <v>50</v>
      </c>
      <c r="C2" s="76" t="s">
        <v>52</v>
      </c>
      <c r="D2" s="76" t="s">
        <v>54</v>
      </c>
      <c r="H2" s="70" t="s">
        <v>53</v>
      </c>
      <c r="I2" s="77">
        <f ca="1">TODAY()</f>
        <v>44937</v>
      </c>
    </row>
    <row r="3" spans="1:10" x14ac:dyDescent="0.25">
      <c r="A3" s="82">
        <v>44714</v>
      </c>
      <c r="B3" s="64">
        <v>87977.760000000009</v>
      </c>
      <c r="C3" s="1">
        <v>112377</v>
      </c>
      <c r="D3" s="78">
        <f>IF(B3&gt;0,B3/88000*112377/C3-1,0)</f>
        <v>-2.5272727272707129E-4</v>
      </c>
      <c r="H3" s="70" t="s">
        <v>50</v>
      </c>
      <c r="I3" s="71">
        <f>Carteira!J26</f>
        <v>83195.399999999994</v>
      </c>
    </row>
    <row r="4" spans="1:10" x14ac:dyDescent="0.25">
      <c r="A4" s="82">
        <v>44715</v>
      </c>
      <c r="B4" s="64">
        <v>87000.2</v>
      </c>
      <c r="C4" s="1">
        <v>111232</v>
      </c>
      <c r="D4" s="78">
        <f t="shared" ref="D4:D14" si="0">IF(B4&gt;0,B4/88000*112377/C4-1,0)</f>
        <v>-1.1845149000615507E-3</v>
      </c>
      <c r="H4" s="72" t="s">
        <v>51</v>
      </c>
      <c r="I4" s="73">
        <f>[1]!ibov</f>
        <v>110791</v>
      </c>
    </row>
    <row r="5" spans="1:10" x14ac:dyDescent="0.25">
      <c r="A5" s="82">
        <v>44719</v>
      </c>
      <c r="B5" s="64">
        <v>87129.4</v>
      </c>
      <c r="C5" s="1">
        <v>110182</v>
      </c>
      <c r="D5" s="78">
        <f t="shared" si="0"/>
        <v>9.831314614167308E-3</v>
      </c>
    </row>
    <row r="6" spans="1:10" x14ac:dyDescent="0.25">
      <c r="A6" s="82">
        <v>44805</v>
      </c>
      <c r="B6" s="64">
        <v>82448.600000000006</v>
      </c>
      <c r="C6" s="1">
        <v>109832</v>
      </c>
      <c r="D6" s="78">
        <f t="shared" si="0"/>
        <v>-4.1374106672835809E-2</v>
      </c>
      <c r="G6" s="81" t="s">
        <v>55</v>
      </c>
      <c r="H6" s="79"/>
      <c r="I6" s="79"/>
      <c r="J6" s="80"/>
    </row>
    <row r="7" spans="1:10" x14ac:dyDescent="0.25">
      <c r="A7" s="82">
        <v>44816</v>
      </c>
      <c r="B7" s="64">
        <v>86719.12</v>
      </c>
      <c r="C7" s="1">
        <v>113480</v>
      </c>
      <c r="D7" s="78">
        <f t="shared" si="0"/>
        <v>-2.413375322043132E-2</v>
      </c>
    </row>
    <row r="8" spans="1:10" x14ac:dyDescent="0.25">
      <c r="A8" s="82">
        <v>44818</v>
      </c>
      <c r="B8" s="64">
        <v>84356.72</v>
      </c>
      <c r="C8" s="1">
        <v>111018</v>
      </c>
      <c r="D8" s="78">
        <f t="shared" si="0"/>
        <v>-2.966645013339364E-2</v>
      </c>
    </row>
    <row r="9" spans="1:10" x14ac:dyDescent="0.25">
      <c r="A9" s="82">
        <v>44820</v>
      </c>
      <c r="B9" s="64">
        <v>84370.8</v>
      </c>
      <c r="C9" s="1">
        <v>109944</v>
      </c>
      <c r="D9" s="78">
        <f t="shared" si="0"/>
        <v>-2.0024099913674931E-2</v>
      </c>
    </row>
    <row r="10" spans="1:10" x14ac:dyDescent="0.3">
      <c r="A10" s="82">
        <v>44831</v>
      </c>
      <c r="B10" s="64">
        <v>83709.16</v>
      </c>
      <c r="C10" s="1">
        <v>109682</v>
      </c>
      <c r="D10" s="78">
        <f t="shared" si="0"/>
        <v>-2.5386585214943636E-2</v>
      </c>
    </row>
    <row r="11" spans="1:10" x14ac:dyDescent="0.25">
      <c r="A11" s="82">
        <v>44847</v>
      </c>
      <c r="B11" s="64">
        <v>84084.24</v>
      </c>
      <c r="C11" s="1">
        <v>114517</v>
      </c>
      <c r="D11" s="78">
        <f t="shared" si="0"/>
        <v>-6.2352925917311119E-2</v>
      </c>
    </row>
    <row r="12" spans="1:10" x14ac:dyDescent="0.25">
      <c r="A12" s="82">
        <v>44873</v>
      </c>
      <c r="B12" s="64">
        <v>84455.22</v>
      </c>
      <c r="C12" s="1">
        <v>116597</v>
      </c>
      <c r="D12" s="78">
        <f t="shared" si="0"/>
        <v>-7.5016718625615653E-2</v>
      </c>
    </row>
    <row r="13" spans="1:10" x14ac:dyDescent="0.25">
      <c r="A13" s="82">
        <v>44883</v>
      </c>
      <c r="B13" s="143">
        <v>84218.5</v>
      </c>
      <c r="C13" s="1">
        <v>111393</v>
      </c>
      <c r="D13" s="78">
        <f t="shared" si="0"/>
        <v>-3.4517595105535315E-2</v>
      </c>
    </row>
    <row r="14" spans="1:10" x14ac:dyDescent="0.25">
      <c r="A14" s="82">
        <v>44904</v>
      </c>
      <c r="B14" s="64">
        <v>80789.099999999991</v>
      </c>
      <c r="C14" s="1">
        <v>107827</v>
      </c>
      <c r="D14" s="78">
        <f t="shared" si="0"/>
        <v>-4.3202548916741357E-2</v>
      </c>
    </row>
    <row r="15" spans="1:10" x14ac:dyDescent="0.25">
      <c r="A15" s="82">
        <v>44936</v>
      </c>
      <c r="B15" s="64">
        <v>82824</v>
      </c>
      <c r="C15" s="1">
        <v>109711</v>
      </c>
      <c r="D15" s="78">
        <f>IF(B15&gt;0,B15/88000*112377/C15-1,0)</f>
        <v>-3.5947268899032991E-2</v>
      </c>
    </row>
    <row r="16" spans="1:10" x14ac:dyDescent="0.3">
      <c r="A16" s="82"/>
      <c r="B16" s="64"/>
      <c r="C16" s="1"/>
      <c r="D16" s="78"/>
    </row>
    <row r="17" spans="1:4" x14ac:dyDescent="0.3">
      <c r="A17" s="82"/>
      <c r="B17" s="64"/>
      <c r="C17" s="1"/>
      <c r="D17" s="78"/>
    </row>
    <row r="18" spans="1:4" x14ac:dyDescent="0.3">
      <c r="A18" s="82"/>
      <c r="B18" s="64"/>
      <c r="C18" s="1"/>
      <c r="D18" s="78"/>
    </row>
    <row r="19" spans="1:4" x14ac:dyDescent="0.3">
      <c r="A19" s="82"/>
      <c r="B19" s="64"/>
      <c r="C19" s="1"/>
      <c r="D19" s="78"/>
    </row>
    <row r="20" spans="1:4" x14ac:dyDescent="0.3">
      <c r="A20" s="82"/>
      <c r="B20" s="64"/>
      <c r="C20" s="1"/>
      <c r="D20" s="78"/>
    </row>
    <row r="21" spans="1:4" x14ac:dyDescent="0.3">
      <c r="A21" s="82"/>
      <c r="B21" s="64"/>
      <c r="C21" s="1"/>
      <c r="D21" s="78"/>
    </row>
    <row r="22" spans="1:4" x14ac:dyDescent="0.3">
      <c r="A22" s="82"/>
      <c r="B22" s="64"/>
      <c r="C22" s="1"/>
      <c r="D22" s="78"/>
    </row>
    <row r="23" spans="1:4" x14ac:dyDescent="0.3">
      <c r="A23" s="82"/>
      <c r="B23" s="64"/>
      <c r="C23" s="1"/>
      <c r="D23" s="78"/>
    </row>
    <row r="24" spans="1:4" x14ac:dyDescent="0.25">
      <c r="A24" s="82"/>
      <c r="B24" s="64"/>
      <c r="C24" s="1"/>
    </row>
    <row r="25" spans="1:4" x14ac:dyDescent="0.3">
      <c r="A25" s="82"/>
      <c r="B25" s="64"/>
      <c r="C25" s="1"/>
    </row>
    <row r="26" spans="1:4" x14ac:dyDescent="0.3">
      <c r="A26" s="82"/>
      <c r="B26" s="64"/>
      <c r="C26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C38"/>
  <sheetViews>
    <sheetView workbookViewId="0">
      <selection activeCell="A15" sqref="A15"/>
    </sheetView>
  </sheetViews>
  <sheetFormatPr defaultRowHeight="15" x14ac:dyDescent="0.25"/>
  <cols>
    <col min="1" max="1" width="16.85546875" customWidth="1"/>
  </cols>
  <sheetData>
    <row r="2" spans="1:3" ht="6" customHeight="1" x14ac:dyDescent="0.25"/>
    <row r="3" spans="1:3" ht="6" customHeight="1" x14ac:dyDescent="0.25"/>
    <row r="4" spans="1:3" ht="6" customHeight="1" x14ac:dyDescent="0.25"/>
    <row r="5" spans="1:3" ht="6" customHeight="1" x14ac:dyDescent="0.25"/>
    <row r="6" spans="1:3" ht="6" customHeight="1" x14ac:dyDescent="0.25"/>
    <row r="7" spans="1:3" ht="6" customHeight="1" x14ac:dyDescent="0.25"/>
    <row r="8" spans="1:3" ht="6" customHeight="1" x14ac:dyDescent="0.25"/>
    <row r="9" spans="1:3" ht="14.25" customHeight="1" x14ac:dyDescent="0.25">
      <c r="A9" s="56" t="s">
        <v>42</v>
      </c>
    </row>
    <row r="10" spans="1:3" ht="15" customHeight="1" x14ac:dyDescent="0.25">
      <c r="A10" s="56" t="s">
        <v>43</v>
      </c>
      <c r="B10" s="55"/>
      <c r="C10" s="55"/>
    </row>
    <row r="11" spans="1:3" x14ac:dyDescent="0.25">
      <c r="A11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2" spans="1:3" x14ac:dyDescent="0.25">
      <c r="A12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3" spans="1:3" x14ac:dyDescent="0.25">
      <c r="A13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4" spans="1:3" x14ac:dyDescent="0.25">
      <c r="A14" t="str">
        <f>IF(Notas!E11&lt;&gt;0,"e;"&amp;TEXT(Notas!B11,"DD/MM/AAAA HH:MM")&amp;";"&amp;Notas!C11&amp;";"&amp;Notas!D11&amp;";"&amp;ABS(Notas!E11)&amp;";"&amp;ABS(Notas!G11)&amp;";"&amp;Notas!F11,"")</f>
        <v/>
      </c>
    </row>
    <row r="15" spans="1:3" x14ac:dyDescent="0.25">
      <c r="A15" t="str">
        <f>IF(Notas!E12&lt;&gt;0,"e;"&amp;TEXT(Notas!B12,"DD/MM/AAAA HH:MM")&amp;";"&amp;Notas!C12&amp;";"&amp;Notas!D12&amp;";"&amp;ABS(Notas!E12)&amp;";"&amp;ABS(Notas!G12)&amp;";"&amp;Notas!F12,"")</f>
        <v>e;01/01/2015 00:00;C;ITUB4;438;0;32.161</v>
      </c>
    </row>
    <row r="16" spans="1:3" x14ac:dyDescent="0.25">
      <c r="A16" t="e">
        <f>IF(Notas!E13&lt;&gt;0,"e;"&amp;TEXT(Notas!B13,"DD/MM/AAAA HH:MM")&amp;";"&amp;Notas!C13&amp;";"&amp;Notas!D13&amp;";"&amp;ABS(Notas!E13)&amp;";"&amp;ABS(Notas!#REF!)&amp;";"&amp;Notas!F13,"")</f>
        <v>#REF!</v>
      </c>
    </row>
    <row r="17" spans="1:1" x14ac:dyDescent="0.25">
      <c r="A17" t="e">
        <f>IF(Notas!E14&lt;&gt;0,"e;"&amp;TEXT(Notas!B14,"DD/MM/AAAA HH:MM")&amp;";"&amp;Notas!C14&amp;";"&amp;Notas!D14&amp;";"&amp;ABS(Notas!E14)&amp;";"&amp;ABS(Notas!#REF!)&amp;";"&amp;Notas!F14,"")</f>
        <v>#REF!</v>
      </c>
    </row>
    <row r="18" spans="1:1" x14ac:dyDescent="0.25">
      <c r="A18" t="str">
        <f>IF(Notas!E16&lt;&gt;0,"e;"&amp;TEXT(Notas!B16,"DD/MM/AAAA HH:MM")&amp;";"&amp;Notas!C16&amp;";"&amp;Notas!D16&amp;";"&amp;ABS(Notas!E16)&amp;";"&amp;ABS(Notas!G16)&amp;";"&amp;Notas!F16,"")</f>
        <v/>
      </c>
    </row>
    <row r="19" spans="1:1" x14ac:dyDescent="0.25">
      <c r="A19" t="str">
        <f>IF(Notas!E20&lt;&gt;0,"e;"&amp;TEXT(Notas!B20,"DD/MM/AAAA HH:MM")&amp;";"&amp;Notas!C20&amp;";"&amp;Notas!D20&amp;";"&amp;ABS(Notas!E20)&amp;";"&amp;ABS(Notas!G20)&amp;";"&amp;Notas!F20,"")</f>
        <v/>
      </c>
    </row>
    <row r="20" spans="1:1" x14ac:dyDescent="0.25">
      <c r="A20" t="str">
        <f>IF(Notas!E21&lt;&gt;0,"e;"&amp;TEXT(Notas!B21,"DD/MM/AAAA HH:MM")&amp;";"&amp;Notas!C21&amp;";"&amp;Notas!D21&amp;";"&amp;ABS(Notas!E21)&amp;";"&amp;ABS(Notas!G21)&amp;";"&amp;Notas!F21,"")</f>
        <v>e;02/06/2022 00:00;C;KNCA11;100;0;107.01</v>
      </c>
    </row>
    <row r="21" spans="1:1" x14ac:dyDescent="0.25">
      <c r="A21" t="e">
        <f>IF(Notas!E22&lt;&gt;0,"e;"&amp;TEXT(Notas!B22,"DD/MM/AAAA HH:MM")&amp;";"&amp;Notas!C22&amp;";"&amp;Notas!D22&amp;";"&amp;ABS(Notas!E22)&amp;";"&amp;ABS(Notas!#REF!)&amp;";"&amp;Notas!F22,"")</f>
        <v>#REF!</v>
      </c>
    </row>
    <row r="22" spans="1:1" x14ac:dyDescent="0.25">
      <c r="A22" t="e">
        <f>IF(Notas!E23&lt;&gt;0,"e;"&amp;TEXT(Notas!B23,"DD/MM/AAAA HH:MM")&amp;";"&amp;Notas!C23&amp;";"&amp;Notas!D23&amp;";"&amp;ABS(Notas!E23)&amp;";"&amp;ABS(Notas!#REF!)&amp;";"&amp;Notas!F23,"")</f>
        <v>#REF!</v>
      </c>
    </row>
    <row r="23" spans="1:1" x14ac:dyDescent="0.25">
      <c r="A23" t="str">
        <f>IF(Notas!E24&lt;&gt;0,"e;"&amp;TEXT(Notas!B24,"DD/MM/AAAA HH:MM")&amp;";"&amp;Notas!C24&amp;";"&amp;Notas!D24&amp;";"&amp;ABS(Notas!E24)&amp;";"&amp;ABS(Notas!G24)&amp;";"&amp;Notas!F24,"")</f>
        <v>e;02/06/2022 00:00;C;AMZO34;1000;0;3.81</v>
      </c>
    </row>
    <row r="24" spans="1:1" x14ac:dyDescent="0.25">
      <c r="A24" t="str">
        <f>IF(Notas!E25&lt;&gt;0,"e;"&amp;TEXT(Notas!B25,"DD/MM/AAAA HH:MM")&amp;";"&amp;Notas!C25&amp;";"&amp;Notas!D25&amp;";"&amp;ABS(Notas!E25)&amp;";"&amp;ABS(Notas!G25)&amp;";"&amp;Notas!F25,"")</f>
        <v>e;02/06/2022 00:00;C;BOVA11;90;0;108.41</v>
      </c>
    </row>
    <row r="25" spans="1:1" x14ac:dyDescent="0.25">
      <c r="A25" t="str">
        <f>IF(Notas!E26&lt;&gt;0,"e;"&amp;TEXT(Notas!B26,"DD/MM/AAAA HH:MM")&amp;";"&amp;Notas!C26&amp;";"&amp;Notas!D26&amp;";"&amp;ABS(Notas!E26)&amp;";"&amp;ABS(Notas!G26)&amp;";"&amp;Notas!F26,"")</f>
        <v/>
      </c>
    </row>
    <row r="26" spans="1:1" x14ac:dyDescent="0.25">
      <c r="A26" t="str">
        <f>IF(Notas!E27&lt;&gt;0,"e;"&amp;TEXT(Notas!B27,"DD/MM/AAAA HH:MM")&amp;";"&amp;Notas!C27&amp;";"&amp;Notas!D27&amp;";"&amp;ABS(Notas!E27)&amp;";"&amp;ABS(Notas!G27)&amp;";"&amp;Notas!F27,"")</f>
        <v>e;03/06/2022 00:00;C;AMZO34;3000;0;3.77</v>
      </c>
    </row>
    <row r="27" spans="1:1" x14ac:dyDescent="0.25">
      <c r="A27" t="e">
        <f>IF(Notas!E28&lt;&gt;0,"e;"&amp;TEXT(Notas!B28,"DD/MM/AAAA HH:MM")&amp;";"&amp;Notas!C28&amp;";"&amp;Notas!D28&amp;";"&amp;ABS(Notas!E28)&amp;";"&amp;ABS(Notas!G28)&amp;";"&amp;Notas!F28,"")</f>
        <v>#VALUE!</v>
      </c>
    </row>
    <row r="28" spans="1:1" x14ac:dyDescent="0.25">
      <c r="A28" t="str">
        <f>IF(Notas!E29&lt;&gt;0,"e;"&amp;TEXT(Notas!B29,"DD/MM/AAAA HH:MM")&amp;";"&amp;Notas!C29&amp;";"&amp;Notas!D29&amp;";"&amp;ABS(Notas!E29)&amp;";"&amp;ABS(Notas!G29)&amp;";"&amp;Notas!F29,"")</f>
        <v/>
      </c>
    </row>
    <row r="29" spans="1:1" x14ac:dyDescent="0.3">
      <c r="A29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30" spans="1:1" x14ac:dyDescent="0.3">
      <c r="A30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31" spans="1:1" x14ac:dyDescent="0.3">
      <c r="A31" t="str">
        <f>IF(Notas!E30&lt;&gt;0,"e;"&amp;TEXT(Notas!B30,"DD/MM/AAAA HH:MM")&amp;";"&amp;Notas!C30&amp;";"&amp;Notas!D30&amp;";"&amp;ABS(Notas!E30)&amp;";"&amp;ABS(Notas!G30)&amp;";"&amp;Notas!F30,"")</f>
        <v/>
      </c>
    </row>
    <row r="32" spans="1:1" x14ac:dyDescent="0.3">
      <c r="A32" t="e">
        <f>IF(Notas!E31&lt;&gt;0,"e;"&amp;TEXT(Notas!B31,"DD/MM/AAAA HH:MM")&amp;";"&amp;Notas!C31&amp;";"&amp;Notas!D31&amp;";"&amp;ABS(Notas!E31)&amp;";"&amp;ABS(Notas!#REF!)&amp;";"&amp;Notas!F31,"")</f>
        <v>#REF!</v>
      </c>
    </row>
    <row r="33" spans="1:1" x14ac:dyDescent="0.3">
      <c r="A33" t="e">
        <f>IF(Notas!E32&lt;&gt;0,"e;"&amp;TEXT(Notas!B32,"DD/MM/AAAA HH:MM")&amp;";"&amp;Notas!C32&amp;";"&amp;Notas!D32&amp;";"&amp;ABS(Notas!E32)&amp;";"&amp;ABS(Notas!G31)&amp;";"&amp;Notas!F32,"")</f>
        <v>#VALUE!</v>
      </c>
    </row>
    <row r="34" spans="1:1" x14ac:dyDescent="0.3">
      <c r="A34" t="str">
        <f>IF(Notas!E33&lt;&gt;0,"e;"&amp;TEXT(Notas!B33,"DD/MM/AAAA HH:MM")&amp;";"&amp;Notas!C33&amp;";"&amp;Notas!D33&amp;";"&amp;ABS(Notas!E33)&amp;";"&amp;ABS(Notas!G32)&amp;";"&amp;Notas!F33,"")</f>
        <v/>
      </c>
    </row>
    <row r="35" spans="1:1" x14ac:dyDescent="0.25">
      <c r="A35" t="e">
        <f>IF(Notas!E34&lt;&gt;0,"e;"&amp;TEXT(Notas!B34,"DD/MM/AAAA HH:MM")&amp;";"&amp;Notas!C34&amp;";"&amp;Notas!D34&amp;";"&amp;ABS(Notas!E34)&amp;";"&amp;ABS(Notas!#REF!)&amp;";"&amp;Notas!F34,"")</f>
        <v>#REF!</v>
      </c>
    </row>
    <row r="36" spans="1:1" x14ac:dyDescent="0.25">
      <c r="A36" t="str">
        <f>IF(Notas!E35&lt;&gt;0,"e;"&amp;TEXT(Notas!B35,"DD/MM/AAAA HH:MM")&amp;";"&amp;Notas!C35&amp;";"&amp;Notas!D35&amp;";"&amp;ABS(Notas!E35)&amp;";"&amp;ABS(Notas!G34)&amp;";"&amp;Notas!F35,"")</f>
        <v/>
      </c>
    </row>
    <row r="37" spans="1:1" x14ac:dyDescent="0.25">
      <c r="A37" t="str">
        <f>IF(Notas!E37&lt;&gt;0,"e;"&amp;TEXT(Notas!B37,"DD/MM/AAAA HH:MM")&amp;";"&amp;Notas!C37&amp;";"&amp;Notas!D37&amp;";"&amp;ABS(Notas!E37)&amp;";"&amp;ABS(Notas!G35)&amp;";"&amp;Notas!F37,"")</f>
        <v/>
      </c>
    </row>
    <row r="38" spans="1:1" x14ac:dyDescent="0.25">
      <c r="A38" t="e">
        <f>IF(Notas!E38&lt;&gt;0,"e;"&amp;TEXT(Notas!B38,"DD/MM/AAAA HH:MM")&amp;";"&amp;Notas!C38&amp;";"&amp;Notas!D38&amp;";"&amp;ABS(Notas!E38)&amp;";"&amp;ABS(Notas!#REF!)&amp;";"&amp;Notas!F38,"")</f>
        <v>#REF!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Notas</vt:lpstr>
      <vt:lpstr>Carteira</vt:lpstr>
      <vt:lpstr>Dividendos</vt:lpstr>
      <vt:lpstr>Serie</vt:lpstr>
      <vt:lpstr>NassauSt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Reis</dc:creator>
  <cp:lastModifiedBy>Omar Reis</cp:lastModifiedBy>
  <cp:lastPrinted>2019-10-31T15:14:31Z</cp:lastPrinted>
  <dcterms:created xsi:type="dcterms:W3CDTF">2019-09-24T15:41:09Z</dcterms:created>
  <dcterms:modified xsi:type="dcterms:W3CDTF">2023-01-11T14:47:15Z</dcterms:modified>
</cp:coreProperties>
</file>