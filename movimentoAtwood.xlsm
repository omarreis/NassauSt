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-13" yWindow="-13" windowWidth="19008" windowHeight="10080"/>
  </bookViews>
  <sheets>
    <sheet name="Notas" sheetId="4" r:id="rId1"/>
    <sheet name="Carteira" sheetId="5" r:id="rId2"/>
    <sheet name="Dividendos" sheetId="7" r:id="rId3"/>
    <sheet name="Serie" sheetId="8" r:id="rId4"/>
    <sheet name="NassauSt" sheetId="6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D10" i="8" l="1"/>
  <c r="N8" i="7"/>
  <c r="M8" i="7"/>
  <c r="N7" i="7"/>
  <c r="M7" i="7"/>
  <c r="N6" i="7"/>
  <c r="M6" i="7"/>
  <c r="N5" i="7"/>
  <c r="M5" i="7"/>
  <c r="N4" i="7"/>
  <c r="M4" i="7"/>
  <c r="Q5" i="7"/>
  <c r="R5" i="7" s="1"/>
  <c r="Q8" i="7"/>
  <c r="R8" i="7" s="1"/>
  <c r="Q7" i="7"/>
  <c r="R7" i="7" s="1"/>
  <c r="Q6" i="7"/>
  <c r="R6" i="7" s="1"/>
  <c r="Q4" i="7"/>
  <c r="R4" i="7" s="1"/>
  <c r="Q3" i="7"/>
  <c r="R3" i="7" s="1"/>
  <c r="N3" i="7"/>
  <c r="S5" i="7" l="1"/>
  <c r="S8" i="7"/>
  <c r="S7" i="7"/>
  <c r="S6" i="7"/>
  <c r="O4" i="7"/>
  <c r="O8" i="7"/>
  <c r="S4" i="7"/>
  <c r="O6" i="7"/>
  <c r="M3" i="7" l="1"/>
  <c r="F3" i="7"/>
  <c r="F9" i="7"/>
  <c r="G9" i="7" s="1"/>
  <c r="O3" i="7" l="1"/>
  <c r="S3" i="7"/>
  <c r="M13" i="7"/>
  <c r="D9" i="8"/>
  <c r="F30" i="4"/>
  <c r="D8" i="8" l="1"/>
  <c r="M7" i="5" l="1"/>
  <c r="H7" i="5"/>
  <c r="G10" i="4" l="1"/>
  <c r="F8" i="7"/>
  <c r="G8" i="7" s="1"/>
  <c r="C9" i="5" l="1"/>
  <c r="G3" i="7"/>
  <c r="I7" i="7"/>
  <c r="I6" i="7"/>
  <c r="I5" i="7"/>
  <c r="I4" i="7"/>
  <c r="I3" i="7"/>
  <c r="F4" i="7"/>
  <c r="G4" i="7" s="1"/>
  <c r="F7" i="7"/>
  <c r="G7" i="7" s="1"/>
  <c r="F6" i="7"/>
  <c r="G6" i="7" s="1"/>
  <c r="F5" i="7"/>
  <c r="G5" i="7" s="1"/>
  <c r="L29" i="4"/>
  <c r="M30" i="4"/>
  <c r="N30" i="4" s="1"/>
  <c r="K30" i="4"/>
  <c r="L30" i="4" s="1"/>
  <c r="G28" i="4" s="1"/>
  <c r="M29" i="4"/>
  <c r="N29" i="4" s="1"/>
  <c r="K29" i="4"/>
  <c r="H30" i="4"/>
  <c r="H29" i="4"/>
  <c r="D5" i="8" l="1"/>
  <c r="N26" i="4"/>
  <c r="M26" i="4"/>
  <c r="K26" i="4"/>
  <c r="L26" i="4" s="1"/>
  <c r="E26" i="4"/>
  <c r="I28" i="5"/>
  <c r="D7" i="8" l="1"/>
  <c r="D6" i="8"/>
  <c r="D4" i="8"/>
  <c r="D3" i="8"/>
  <c r="M25" i="4"/>
  <c r="N25" i="4" s="1"/>
  <c r="K25" i="4"/>
  <c r="L25" i="4" s="1"/>
  <c r="H27" i="4" l="1"/>
  <c r="G24" i="4"/>
  <c r="H26" i="4"/>
  <c r="I3" i="4"/>
  <c r="M9" i="5"/>
  <c r="M8" i="5"/>
  <c r="M6" i="5"/>
  <c r="M5" i="5"/>
  <c r="M4" i="5"/>
  <c r="M23" i="4"/>
  <c r="N23" i="4" s="1"/>
  <c r="K23" i="4"/>
  <c r="L23" i="4" s="1"/>
  <c r="M22" i="4"/>
  <c r="N22" i="4" s="1"/>
  <c r="K22" i="4"/>
  <c r="L22" i="4" s="1"/>
  <c r="H9" i="5"/>
  <c r="N21" i="4"/>
  <c r="M21" i="4"/>
  <c r="K21" i="4"/>
  <c r="L21" i="4" s="1"/>
  <c r="F9" i="5"/>
  <c r="E9" i="5"/>
  <c r="M20" i="4"/>
  <c r="N20" i="4" s="1"/>
  <c r="K20" i="4"/>
  <c r="L20" i="4" s="1"/>
  <c r="M19" i="4"/>
  <c r="N19" i="4" s="1"/>
  <c r="K19" i="4"/>
  <c r="L19" i="4" s="1"/>
  <c r="G18" i="4" s="1"/>
  <c r="H8" i="5"/>
  <c r="H6" i="5"/>
  <c r="H5" i="5"/>
  <c r="H4" i="5"/>
  <c r="M16" i="4"/>
  <c r="N16" i="4" s="1"/>
  <c r="K16" i="4"/>
  <c r="L16" i="4" s="1"/>
  <c r="M15" i="4"/>
  <c r="N15" i="4" s="1"/>
  <c r="K15" i="4"/>
  <c r="L15" i="4" s="1"/>
  <c r="H30" i="5" l="1"/>
  <c r="H31" i="5" s="1"/>
  <c r="H20" i="4"/>
  <c r="H21" i="4"/>
  <c r="I9" i="5"/>
  <c r="D9" i="5"/>
  <c r="H17" i="4"/>
  <c r="G14" i="4"/>
  <c r="H16" i="4"/>
  <c r="K9" i="5" l="1"/>
  <c r="L9" i="5" s="1"/>
  <c r="I2" i="8" l="1"/>
  <c r="I4" i="8"/>
  <c r="D23" i="7"/>
  <c r="F8" i="5"/>
  <c r="C8" i="5"/>
  <c r="E8" i="5"/>
  <c r="I8" i="5" l="1"/>
  <c r="D8" i="5"/>
  <c r="F7" i="5"/>
  <c r="K8" i="5" l="1"/>
  <c r="L8" i="5" s="1"/>
  <c r="F6" i="5"/>
  <c r="A38" i="6" l="1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K3" i="4" l="1"/>
  <c r="K2" i="4"/>
  <c r="E3" i="4" l="1"/>
  <c r="M13" i="4"/>
  <c r="N13" i="4" s="1"/>
  <c r="E6" i="5" s="1"/>
  <c r="M12" i="4"/>
  <c r="N12" i="4" s="1"/>
  <c r="M11" i="4"/>
  <c r="N11" i="4" s="1"/>
  <c r="K13" i="4"/>
  <c r="K12" i="4"/>
  <c r="K11" i="4"/>
  <c r="L11" i="4" s="1"/>
  <c r="F4" i="5"/>
  <c r="F5" i="5"/>
  <c r="L12" i="4" l="1"/>
  <c r="C7" i="5"/>
  <c r="E5" i="5"/>
  <c r="E7" i="5"/>
  <c r="L13" i="4"/>
  <c r="H13" i="4" s="1"/>
  <c r="C6" i="5"/>
  <c r="C5" i="5"/>
  <c r="D30" i="5"/>
  <c r="E4" i="5"/>
  <c r="C4" i="5"/>
  <c r="I4" i="5" s="1"/>
  <c r="F24" i="5"/>
  <c r="H12" i="4" l="1"/>
  <c r="D5" i="5"/>
  <c r="I7" i="5"/>
  <c r="D31" i="5" s="1"/>
  <c r="D7" i="5"/>
  <c r="I6" i="5"/>
  <c r="D6" i="5"/>
  <c r="D4" i="5"/>
  <c r="C24" i="5"/>
  <c r="I5" i="5"/>
  <c r="I24" i="5" l="1"/>
  <c r="D29" i="5"/>
  <c r="K7" i="5"/>
  <c r="L7" i="5" s="1"/>
  <c r="K6" i="5"/>
  <c r="L6" i="5" s="1"/>
  <c r="D28" i="5"/>
  <c r="K5" i="5"/>
  <c r="L5" i="5" s="1"/>
  <c r="D24" i="5"/>
  <c r="K4" i="5"/>
  <c r="L4" i="5" s="1"/>
  <c r="D32" i="5" l="1"/>
  <c r="E29" i="5" s="1"/>
  <c r="J9" i="5"/>
  <c r="J8" i="5"/>
  <c r="J6" i="5"/>
  <c r="J7" i="5"/>
  <c r="I2" i="4"/>
  <c r="G2" i="4" s="1"/>
  <c r="G3" i="4" s="1"/>
  <c r="J4" i="5"/>
  <c r="J5" i="5"/>
  <c r="I26" i="5"/>
  <c r="I3" i="8" s="1"/>
  <c r="K24" i="5"/>
  <c r="L24" i="5" s="1"/>
  <c r="J24" i="5" l="1"/>
  <c r="E31" i="5"/>
  <c r="E30" i="5"/>
  <c r="E28" i="5"/>
  <c r="E32" i="5"/>
</calcChain>
</file>

<file path=xl/comments1.xml><?xml version="1.0" encoding="utf-8"?>
<comments xmlns="http://schemas.openxmlformats.org/spreadsheetml/2006/main">
  <authors>
    <author>Omar Reis</author>
  </authors>
  <commentList>
    <comment ref="G1" authorId="0">
      <text>
        <r>
          <rPr>
            <b/>
            <sz val="9"/>
            <color indexed="81"/>
            <rFont val="Tahoma"/>
            <charset val="1"/>
          </rPr>
          <t>Omar Reis:</t>
        </r>
        <r>
          <rPr>
            <sz val="9"/>
            <color indexed="81"/>
            <rFont val="Tahoma"/>
            <charset val="1"/>
          </rPr>
          <t xml:space="preserve">
Ativa corretora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inicial investido
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atual dos ativos da carteira + caixa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atual dos ativos da carteira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inicial + saldo das ops - despesas e IRRF
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atual  da quota
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inicial + saldo do financeiro - despesas e IRRF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atual  da quota
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usar C ou V ( maiusculas)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codigo do ativo
usar maiúsculas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Custos ( impostos+  taxas + corretagem + emonumentos) exceto IR retido na fonte ( dedo duro ) </t>
        </r>
      </text>
    </comment>
    <comment ref="J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IR retido na Fonte
( conhecido por imposto dedo-duro )
</t>
        </r>
      </text>
    </comment>
    <comment ref="L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formula com valor negativo para compras
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somente compras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data ficticia. Não sei qdo comprei essas 3 coisas...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Botei os mesmos precos historicos da cart da Necton</t>
        </r>
      </text>
    </comment>
    <comment ref="E2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Vende tudo ao preco de custo 5.1838
e compra ao novo preço pra manter o valor
</t>
        </r>
      </text>
    </comment>
    <comment ref="E3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passou de 5k para 636 wtf
</t>
        </r>
      </text>
    </comment>
    <comment ref="F30" authorId="0">
      <text>
        <r>
          <rPr>
            <b/>
            <sz val="9"/>
            <color indexed="81"/>
            <rFont val="Tahoma"/>
            <charset val="1"/>
          </rPr>
          <t>Omar Reis:</t>
        </r>
        <r>
          <rPr>
            <sz val="9"/>
            <color indexed="81"/>
            <rFont val="Tahoma"/>
            <charset val="1"/>
          </rPr>
          <t xml:space="preserve">
preco med calculado pra compra ser igual a venda.
i.e. altera o numero de ações sem alterar o valor historico</t>
        </r>
      </text>
    </comment>
  </commentList>
</comments>
</file>

<file path=xl/comments2.xml><?xml version="1.0" encoding="utf-8"?>
<comments xmlns="http://schemas.openxmlformats.org/spreadsheetml/2006/main">
  <authors>
    <author>Omar Reis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Quantidade atual considerando compras e vendas registradas na pagina Notas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numero de negocios
(compras + vendas)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Omar Reis:
A ação
FI fundo imob
ETF
BDR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 xml:space="preserve">Omar Reis
cotação atual obtida do NassauSt via fórmula DDE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Isso tá calculado errado. Como calcula no Excel ?
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valoriz em rel ao valor histortico medio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 de ativos inicializados com
Cotaçao &gt; 0 (inicializada )
deve ser =6
</t>
        </r>
      </text>
    </comment>
  </commentList>
</comments>
</file>

<file path=xl/comments3.xml><?xml version="1.0" encoding="utf-8"?>
<comments xmlns="http://schemas.openxmlformats.org/spreadsheetml/2006/main">
  <authors>
    <author>Omar Reis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numero de eventos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as of 27/5/22</t>
        </r>
      </text>
    </comment>
  </commentList>
</comments>
</file>

<file path=xl/comments4.xml><?xml version="1.0" encoding="utf-8"?>
<comments xmlns="http://schemas.openxmlformats.org/spreadsheetml/2006/main">
  <authors>
    <author>Omar Reis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DO da carteira</t>
        </r>
      </text>
    </comment>
  </commentList>
</comments>
</file>

<file path=xl/sharedStrings.xml><?xml version="1.0" encoding="utf-8"?>
<sst xmlns="http://schemas.openxmlformats.org/spreadsheetml/2006/main" count="163" uniqueCount="87">
  <si>
    <t>qde</t>
  </si>
  <si>
    <t>op</t>
  </si>
  <si>
    <t>data</t>
  </si>
  <si>
    <t>C</t>
  </si>
  <si>
    <t>Despesas</t>
  </si>
  <si>
    <t>papel</t>
  </si>
  <si>
    <t>Ativo</t>
  </si>
  <si>
    <t>PrMed</t>
  </si>
  <si>
    <t>IRRF</t>
  </si>
  <si>
    <t>preço med</t>
  </si>
  <si>
    <t>A</t>
  </si>
  <si>
    <t>ETF</t>
  </si>
  <si>
    <t>FI</t>
  </si>
  <si>
    <t>BDR</t>
  </si>
  <si>
    <t>Alocação por tipo de ativo</t>
  </si>
  <si>
    <t>cotação</t>
  </si>
  <si>
    <t>valor atu</t>
  </si>
  <si>
    <t>part%</t>
  </si>
  <si>
    <t>Lucro$</t>
  </si>
  <si>
    <t>Valor Hist</t>
  </si>
  <si>
    <t>nota</t>
  </si>
  <si>
    <t xml:space="preserve">Planilha de Controle de Carteira de Ativos Financeiros </t>
  </si>
  <si>
    <t>cont negs</t>
  </si>
  <si>
    <t>tipo</t>
  </si>
  <si>
    <t>Valoriz</t>
  </si>
  <si>
    <t>// carteira de ativos- suporta até 1000 lançamentos ( depois tem que ajustar as formulas )</t>
  </si>
  <si>
    <t xml:space="preserve"> (+) Caixa</t>
  </si>
  <si>
    <t>valor aquis</t>
  </si>
  <si>
    <t>qde adiq</t>
  </si>
  <si>
    <t>valor ini</t>
  </si>
  <si>
    <t>numquotas</t>
  </si>
  <si>
    <t>caixa</t>
  </si>
  <si>
    <t>Qde</t>
  </si>
  <si>
    <t>quota</t>
  </si>
  <si>
    <t>// digite as notas de corretagem abaixo, como exemplificado ( até linha 1010)</t>
  </si>
  <si>
    <t>valor cart</t>
  </si>
  <si>
    <t>financeiro</t>
  </si>
  <si>
    <t>despesas</t>
  </si>
  <si>
    <t>**Aquisição**</t>
  </si>
  <si>
    <t>// Quando um novo ativo for adicionado, copie linha da tabela e digite o codigo do novo ativo. Suporta até 20 ativos.</t>
  </si>
  <si>
    <t>val ativos</t>
  </si>
  <si>
    <t>val atual</t>
  </si>
  <si>
    <t>// digite dados nas partes com fundo colorido (partes brancas contém formulas)</t>
  </si>
  <si>
    <t>// by Omar Reis  - jun/21 - github.com/omarreis/NassauSt</t>
  </si>
  <si>
    <t>valor tot</t>
  </si>
  <si>
    <t xml:space="preserve">// As linhas abaixo podem ser copiadas e coladas no app NassauSt, para transferir notas. </t>
  </si>
  <si>
    <t>// Selecione range na coluna A e use Ctrl-C para copiar. No app Nassau, na carteira, abra o menu e clique "Cola objetos"</t>
  </si>
  <si>
    <t>Saldo financeiro</t>
  </si>
  <si>
    <t>compras</t>
  </si>
  <si>
    <t>vendas</t>
  </si>
  <si>
    <t>VALE3</t>
  </si>
  <si>
    <t>$/ação</t>
  </si>
  <si>
    <t>Serie historica</t>
  </si>
  <si>
    <t>CART</t>
  </si>
  <si>
    <t>ibov</t>
  </si>
  <si>
    <t>IBOV</t>
  </si>
  <si>
    <t>hoje</t>
  </si>
  <si>
    <t>benchmark</t>
  </si>
  <si>
    <t xml:space="preserve">Use Ctrl-Shift C para salvar valores </t>
  </si>
  <si>
    <t>ITUB4</t>
  </si>
  <si>
    <t>XPBR31</t>
  </si>
  <si>
    <t>AMZO34</t>
  </si>
  <si>
    <t>BOVA11</t>
  </si>
  <si>
    <t>KNCA11</t>
  </si>
  <si>
    <t>Descr</t>
  </si>
  <si>
    <t>qde c/ sinal</t>
  </si>
  <si>
    <t>Num</t>
  </si>
  <si>
    <t>ATWOOD</t>
  </si>
  <si>
    <t>mercado</t>
  </si>
  <si>
    <t>V</t>
  </si>
  <si>
    <t>DIV</t>
  </si>
  <si>
    <t>JCP</t>
  </si>
  <si>
    <t>REND FI</t>
  </si>
  <si>
    <t>Nassau</t>
  </si>
  <si>
    <t xml:space="preserve"> </t>
  </si>
  <si>
    <t>yield</t>
  </si>
  <si>
    <t>oper ficticia ( grupamento de AMZO34  - paridade 157 --&gt; paridade 20 )</t>
  </si>
  <si>
    <t xml:space="preserve"> Atwood</t>
  </si>
  <si>
    <t>valor rend</t>
  </si>
  <si>
    <t>rendimento</t>
  </si>
  <si>
    <t>num ev</t>
  </si>
  <si>
    <t>med p/ ev</t>
  </si>
  <si>
    <t>quant</t>
  </si>
  <si>
    <t>cot</t>
  </si>
  <si>
    <t>valor</t>
  </si>
  <si>
    <t>Totais de rendimentos ( div, jcp e rend FI)</t>
  </si>
  <si>
    <t>Inserir abaixo os rendimentos recebidos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</si>
</sst>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[$-409]d\-mmm\-yy;@"/>
    <numFmt numFmtId="166" formatCode="#,##0.00_ ;[Red]\-#,##0.00\ "/>
    <numFmt numFmtId="167" formatCode="0.0%"/>
    <numFmt numFmtId="168" formatCode="0.0%\ ;[Red]\-0.0%\ "/>
    <numFmt numFmtId="169" formatCode="#,##0_ ;[Red]\-#,##0\ 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5" tint="-0.249977111117893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sz val="9"/>
      <color theme="5" tint="-0.249977111117893"/>
      <name val="Calibri"/>
      <family val="2"/>
      <scheme val="minor"/>
    </font>
    <font>
      <b/>
      <i/>
      <sz val="10"/>
      <color theme="3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4" tint="-0.249977111117893"/>
      <name val="Arial"/>
      <family val="2"/>
    </font>
    <font>
      <i/>
      <sz val="9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9"/>
      <color theme="5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i/>
      <sz val="8"/>
      <color theme="4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i/>
      <sz val="9"/>
      <color theme="4" tint="-0.249977111117893"/>
      <name val="Calibri"/>
      <family val="2"/>
      <scheme val="minor"/>
    </font>
    <font>
      <b/>
      <i/>
      <sz val="8"/>
      <color theme="4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6"/>
      <color theme="1"/>
      <name val="Calibri"/>
      <family val="2"/>
      <scheme val="minor"/>
    </font>
    <font>
      <sz val="6"/>
      <color theme="4" tint="-0.249977111117893"/>
      <name val="Arial"/>
      <family val="2"/>
    </font>
    <font>
      <b/>
      <sz val="9"/>
      <color theme="0"/>
      <name val="Calibri"/>
      <family val="2"/>
      <scheme val="minor"/>
    </font>
    <font>
      <sz val="10"/>
      <color theme="3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b/>
      <i/>
      <sz val="10"/>
      <color theme="3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</borders>
  <cellStyleXfs count="1">
    <xf numFmtId="0" fontId="0" fillId="0" borderId="0"/>
  </cellStyleXfs>
  <cellXfs count="170">
    <xf numFmtId="0" fontId="0" fillId="0" borderId="0" xfId="0"/>
    <xf numFmtId="3" fontId="0" fillId="0" borderId="0" xfId="0" applyNumberFormat="1"/>
    <xf numFmtId="0" fontId="1" fillId="0" borderId="0" xfId="0" applyFont="1"/>
    <xf numFmtId="4" fontId="1" fillId="0" borderId="1" xfId="0" applyNumberFormat="1" applyFont="1" applyBorder="1"/>
    <xf numFmtId="0" fontId="0" fillId="0" borderId="1" xfId="0" applyBorder="1"/>
    <xf numFmtId="167" fontId="8" fillId="0" borderId="1" xfId="0" applyNumberFormat="1" applyFont="1" applyBorder="1" applyAlignment="1">
      <alignment horizontal="center"/>
    </xf>
    <xf numFmtId="0" fontId="0" fillId="0" borderId="0" xfId="0" applyBorder="1"/>
    <xf numFmtId="0" fontId="6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right"/>
    </xf>
    <xf numFmtId="0" fontId="12" fillId="0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4" fontId="12" fillId="0" borderId="0" xfId="0" applyNumberFormat="1" applyFont="1" applyAlignment="1">
      <alignment horizontal="right"/>
    </xf>
    <xf numFmtId="0" fontId="6" fillId="0" borderId="0" xfId="0" applyFont="1" applyBorder="1" applyAlignment="1">
      <alignment horizontal="center"/>
    </xf>
    <xf numFmtId="164" fontId="0" fillId="2" borderId="0" xfId="0" applyNumberFormat="1" applyFill="1"/>
    <xf numFmtId="0" fontId="10" fillId="2" borderId="0" xfId="0" applyFont="1" applyFill="1"/>
    <xf numFmtId="0" fontId="12" fillId="3" borderId="1" xfId="0" applyFont="1" applyFill="1" applyBorder="1" applyAlignment="1">
      <alignment horizontal="right"/>
    </xf>
    <xf numFmtId="0" fontId="12" fillId="3" borderId="1" xfId="0" applyFont="1" applyFill="1" applyBorder="1" applyAlignment="1">
      <alignment horizontal="right" vertical="center"/>
    </xf>
    <xf numFmtId="166" fontId="4" fillId="3" borderId="1" xfId="0" applyNumberFormat="1" applyFont="1" applyFill="1" applyBorder="1" applyAlignment="1">
      <alignment horizontal="right"/>
    </xf>
    <xf numFmtId="2" fontId="4" fillId="3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/>
    <xf numFmtId="167" fontId="8" fillId="0" borderId="0" xfId="0" applyNumberFormat="1" applyFont="1" applyBorder="1" applyAlignment="1">
      <alignment horizontal="center"/>
    </xf>
    <xf numFmtId="4" fontId="11" fillId="0" borderId="0" xfId="0" applyNumberFormat="1" applyFont="1" applyBorder="1"/>
    <xf numFmtId="168" fontId="7" fillId="0" borderId="0" xfId="0" applyNumberFormat="1" applyFont="1" applyBorder="1" applyAlignment="1">
      <alignment horizontal="center"/>
    </xf>
    <xf numFmtId="0" fontId="4" fillId="0" borderId="0" xfId="0" applyFont="1"/>
    <xf numFmtId="0" fontId="13" fillId="0" borderId="1" xfId="0" applyFont="1" applyFill="1" applyBorder="1" applyAlignment="1">
      <alignment horizontal="right"/>
    </xf>
    <xf numFmtId="3" fontId="14" fillId="0" borderId="0" xfId="0" applyNumberFormat="1" applyFont="1" applyFill="1"/>
    <xf numFmtId="166" fontId="14" fillId="0" borderId="0" xfId="0" applyNumberFormat="1" applyFont="1"/>
    <xf numFmtId="0" fontId="10" fillId="0" borderId="0" xfId="0" applyFont="1" applyAlignment="1">
      <alignment vertical="center"/>
    </xf>
    <xf numFmtId="167" fontId="10" fillId="0" borderId="0" xfId="0" applyNumberFormat="1" applyFont="1" applyBorder="1"/>
    <xf numFmtId="0" fontId="5" fillId="0" borderId="0" xfId="0" applyFont="1"/>
    <xf numFmtId="0" fontId="13" fillId="0" borderId="0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right"/>
    </xf>
    <xf numFmtId="0" fontId="6" fillId="0" borderId="1" xfId="0" quotePrefix="1" applyFont="1" applyBorder="1" applyAlignment="1">
      <alignment horizontal="right"/>
    </xf>
    <xf numFmtId="0" fontId="12" fillId="0" borderId="1" xfId="0" applyFont="1" applyBorder="1" applyAlignment="1">
      <alignment horizontal="right"/>
    </xf>
    <xf numFmtId="166" fontId="4" fillId="0" borderId="0" xfId="0" applyNumberFormat="1" applyFont="1"/>
    <xf numFmtId="0" fontId="12" fillId="0" borderId="0" xfId="0" applyFont="1"/>
    <xf numFmtId="0" fontId="5" fillId="0" borderId="1" xfId="0" applyFont="1" applyBorder="1" applyAlignment="1">
      <alignment vertical="center"/>
    </xf>
    <xf numFmtId="0" fontId="0" fillId="0" borderId="2" xfId="0" applyBorder="1"/>
    <xf numFmtId="0" fontId="6" fillId="0" borderId="1" xfId="0" applyFont="1" applyBorder="1" applyAlignment="1">
      <alignment horizontal="right"/>
    </xf>
    <xf numFmtId="166" fontId="12" fillId="2" borderId="1" xfId="0" applyNumberFormat="1" applyFont="1" applyFill="1" applyBorder="1"/>
    <xf numFmtId="0" fontId="6" fillId="0" borderId="1" xfId="0" applyFont="1" applyBorder="1" applyAlignment="1">
      <alignment horizontal="center"/>
    </xf>
    <xf numFmtId="166" fontId="1" fillId="0" borderId="1" xfId="0" applyNumberFormat="1" applyFont="1" applyBorder="1"/>
    <xf numFmtId="166" fontId="0" fillId="0" borderId="3" xfId="0" applyNumberFormat="1" applyBorder="1"/>
    <xf numFmtId="0" fontId="0" fillId="0" borderId="6" xfId="0" applyBorder="1"/>
    <xf numFmtId="0" fontId="6" fillId="0" borderId="7" xfId="0" applyFont="1" applyBorder="1" applyAlignment="1">
      <alignment horizontal="right"/>
    </xf>
    <xf numFmtId="169" fontId="12" fillId="2" borderId="7" xfId="0" applyNumberFormat="1" applyFont="1" applyFill="1" applyBorder="1"/>
    <xf numFmtId="164" fontId="0" fillId="0" borderId="7" xfId="0" applyNumberFormat="1" applyBorder="1"/>
    <xf numFmtId="166" fontId="0" fillId="0" borderId="7" xfId="0" applyNumberFormat="1" applyBorder="1"/>
    <xf numFmtId="164" fontId="0" fillId="0" borderId="8" xfId="0" applyNumberFormat="1" applyBorder="1"/>
    <xf numFmtId="0" fontId="12" fillId="0" borderId="0" xfId="0" applyFont="1" applyFill="1" applyBorder="1" applyAlignment="1">
      <alignment horizontal="right"/>
    </xf>
    <xf numFmtId="165" fontId="4" fillId="0" borderId="0" xfId="0" applyNumberFormat="1" applyFont="1" applyFill="1" applyBorder="1"/>
    <xf numFmtId="0" fontId="12" fillId="0" borderId="0" xfId="0" applyFont="1" applyFill="1" applyBorder="1" applyAlignment="1">
      <alignment horizontal="right" vertical="center"/>
    </xf>
    <xf numFmtId="166" fontId="4" fillId="0" borderId="0" xfId="0" applyNumberFormat="1" applyFont="1" applyFill="1" applyBorder="1" applyAlignment="1">
      <alignment horizontal="right"/>
    </xf>
    <xf numFmtId="2" fontId="4" fillId="0" borderId="0" xfId="0" applyNumberFormat="1" applyFont="1" applyFill="1" applyBorder="1" applyAlignment="1">
      <alignment horizontal="right"/>
    </xf>
    <xf numFmtId="0" fontId="0" fillId="0" borderId="0" xfId="0" applyFill="1" applyBorder="1"/>
    <xf numFmtId="0" fontId="4" fillId="0" borderId="0" xfId="0" applyFont="1" applyFill="1" applyBorder="1"/>
    <xf numFmtId="0" fontId="10" fillId="0" borderId="0" xfId="0" applyFont="1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3" fontId="0" fillId="0" borderId="0" xfId="0" applyNumberFormat="1" applyFill="1" applyBorder="1"/>
    <xf numFmtId="164" fontId="0" fillId="0" borderId="0" xfId="0" applyNumberFormat="1" applyFill="1" applyBorder="1"/>
    <xf numFmtId="0" fontId="4" fillId="0" borderId="0" xfId="0" applyFont="1" applyFill="1" applyBorder="1" applyAlignment="1">
      <alignment horizontal="right"/>
    </xf>
    <xf numFmtId="3" fontId="14" fillId="0" borderId="0" xfId="0" applyNumberFormat="1" applyFont="1" applyFill="1" applyBorder="1"/>
    <xf numFmtId="166" fontId="4" fillId="0" borderId="0" xfId="0" applyNumberFormat="1" applyFont="1" applyFill="1" applyBorder="1"/>
    <xf numFmtId="166" fontId="14" fillId="0" borderId="0" xfId="0" applyNumberFormat="1" applyFont="1" applyFill="1" applyBorder="1"/>
    <xf numFmtId="0" fontId="6" fillId="0" borderId="7" xfId="0" applyFont="1" applyBorder="1" applyAlignment="1">
      <alignment horizontal="center" vertical="center"/>
    </xf>
    <xf numFmtId="165" fontId="5" fillId="2" borderId="0" xfId="0" applyNumberFormat="1" applyFont="1" applyFill="1"/>
    <xf numFmtId="165" fontId="5" fillId="3" borderId="1" xfId="0" applyNumberFormat="1" applyFont="1" applyFill="1" applyBorder="1"/>
    <xf numFmtId="0" fontId="0" fillId="0" borderId="7" xfId="0" applyBorder="1"/>
    <xf numFmtId="0" fontId="12" fillId="0" borderId="7" xfId="0" applyFont="1" applyBorder="1"/>
    <xf numFmtId="0" fontId="17" fillId="4" borderId="0" xfId="0" applyFont="1" applyFill="1" applyAlignment="1">
      <alignment vertical="center"/>
    </xf>
    <xf numFmtId="0" fontId="13" fillId="2" borderId="2" xfId="0" applyFont="1" applyFill="1" applyBorder="1" applyAlignment="1">
      <alignment horizontal="right"/>
    </xf>
    <xf numFmtId="166" fontId="13" fillId="2" borderId="3" xfId="0" applyNumberFormat="1" applyFont="1" applyFill="1" applyBorder="1"/>
    <xf numFmtId="0" fontId="13" fillId="2" borderId="6" xfId="0" applyFont="1" applyFill="1" applyBorder="1" applyAlignment="1">
      <alignment horizontal="right"/>
    </xf>
    <xf numFmtId="166" fontId="13" fillId="2" borderId="8" xfId="0" applyNumberFormat="1" applyFont="1" applyFill="1" applyBorder="1"/>
    <xf numFmtId="0" fontId="0" fillId="2" borderId="0" xfId="0" applyFill="1" applyAlignment="1">
      <alignment horizontal="center"/>
    </xf>
    <xf numFmtId="0" fontId="18" fillId="0" borderId="0" xfId="0" applyFont="1" applyAlignment="1">
      <alignment horizontal="right"/>
    </xf>
    <xf numFmtId="4" fontId="0" fillId="0" borderId="0" xfId="0" applyNumberFormat="1"/>
    <xf numFmtId="3" fontId="4" fillId="0" borderId="0" xfId="0" applyNumberFormat="1" applyFont="1"/>
    <xf numFmtId="165" fontId="5" fillId="0" borderId="0" xfId="0" applyNumberFormat="1" applyFont="1" applyFill="1"/>
    <xf numFmtId="164" fontId="5" fillId="0" borderId="0" xfId="0" applyNumberFormat="1" applyFont="1"/>
    <xf numFmtId="0" fontId="4" fillId="3" borderId="0" xfId="0" applyFont="1" applyFill="1" applyAlignment="1">
      <alignment horizontal="center" vertical="center"/>
    </xf>
    <xf numFmtId="4" fontId="1" fillId="0" borderId="0" xfId="0" applyNumberFormat="1" applyFont="1"/>
    <xf numFmtId="0" fontId="0" fillId="5" borderId="4" xfId="0" applyFill="1" applyBorder="1"/>
    <xf numFmtId="4" fontId="0" fillId="5" borderId="5" xfId="0" applyNumberFormat="1" applyFill="1" applyBorder="1"/>
    <xf numFmtId="0" fontId="0" fillId="5" borderId="6" xfId="0" applyFill="1" applyBorder="1"/>
    <xf numFmtId="3" fontId="0" fillId="5" borderId="8" xfId="0" applyNumberFormat="1" applyFill="1" applyBorder="1"/>
    <xf numFmtId="0" fontId="19" fillId="5" borderId="2" xfId="0" applyFont="1" applyFill="1" applyBorder="1" applyAlignment="1">
      <alignment horizontal="center"/>
    </xf>
    <xf numFmtId="0" fontId="19" fillId="5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14" fontId="0" fillId="5" borderId="5" xfId="0" applyNumberFormat="1" applyFill="1" applyBorder="1"/>
    <xf numFmtId="10" fontId="19" fillId="0" borderId="0" xfId="0" applyNumberFormat="1" applyFont="1"/>
    <xf numFmtId="0" fontId="0" fillId="6" borderId="10" xfId="0" applyFill="1" applyBorder="1"/>
    <xf numFmtId="0" fontId="0" fillId="6" borderId="11" xfId="0" applyFill="1" applyBorder="1"/>
    <xf numFmtId="0" fontId="1" fillId="6" borderId="9" xfId="0" applyFont="1" applyFill="1" applyBorder="1"/>
    <xf numFmtId="14" fontId="5" fillId="0" borderId="0" xfId="0" applyNumberFormat="1" applyFont="1" applyAlignment="1"/>
    <xf numFmtId="4" fontId="20" fillId="0" borderId="1" xfId="0" applyNumberFormat="1" applyFont="1" applyBorder="1"/>
    <xf numFmtId="3" fontId="21" fillId="0" borderId="1" xfId="0" applyNumberFormat="1" applyFont="1" applyBorder="1"/>
    <xf numFmtId="0" fontId="22" fillId="3" borderId="0" xfId="0" applyFont="1" applyFill="1"/>
    <xf numFmtId="167" fontId="23" fillId="0" borderId="0" xfId="0" applyNumberFormat="1" applyFont="1" applyAlignment="1">
      <alignment horizontal="right" vertical="center"/>
    </xf>
    <xf numFmtId="0" fontId="12" fillId="2" borderId="0" xfId="0" applyFont="1" applyFill="1"/>
    <xf numFmtId="3" fontId="12" fillId="2" borderId="0" xfId="0" applyNumberFormat="1" applyFont="1" applyFill="1"/>
    <xf numFmtId="40" fontId="16" fillId="0" borderId="1" xfId="0" applyNumberFormat="1" applyFont="1" applyBorder="1" applyAlignment="1">
      <alignment vertical="center"/>
    </xf>
    <xf numFmtId="168" fontId="24" fillId="0" borderId="1" xfId="0" applyNumberFormat="1" applyFont="1" applyBorder="1" applyAlignment="1">
      <alignment horizontal="right" vertical="center"/>
    </xf>
    <xf numFmtId="0" fontId="14" fillId="0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2" fontId="15" fillId="7" borderId="0" xfId="0" applyNumberFormat="1" applyFont="1" applyFill="1" applyBorder="1" applyAlignment="1">
      <alignment horizontal="right" vertical="center" wrapText="1"/>
    </xf>
    <xf numFmtId="3" fontId="27" fillId="8" borderId="2" xfId="0" applyNumberFormat="1" applyFont="1" applyFill="1" applyBorder="1"/>
    <xf numFmtId="3" fontId="25" fillId="8" borderId="3" xfId="0" applyNumberFormat="1" applyFont="1" applyFill="1" applyBorder="1"/>
    <xf numFmtId="0" fontId="0" fillId="8" borderId="6" xfId="0" applyFill="1" applyBorder="1"/>
    <xf numFmtId="0" fontId="26" fillId="8" borderId="8" xfId="0" applyFont="1" applyFill="1" applyBorder="1" applyAlignment="1">
      <alignment horizontal="right"/>
    </xf>
    <xf numFmtId="0" fontId="21" fillId="0" borderId="0" xfId="0" applyFont="1" applyAlignment="1">
      <alignment vertical="center"/>
    </xf>
    <xf numFmtId="0" fontId="14" fillId="2" borderId="0" xfId="0" applyFont="1" applyFill="1"/>
    <xf numFmtId="3" fontId="14" fillId="0" borderId="0" xfId="0" applyNumberFormat="1" applyFont="1" applyAlignment="1">
      <alignment vertical="center"/>
    </xf>
    <xf numFmtId="4" fontId="14" fillId="0" borderId="0" xfId="0" applyNumberFormat="1" applyFont="1" applyAlignment="1">
      <alignment vertical="center"/>
    </xf>
    <xf numFmtId="164" fontId="14" fillId="0" borderId="0" xfId="0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40" fontId="28" fillId="0" borderId="0" xfId="0" applyNumberFormat="1" applyFont="1" applyAlignment="1">
      <alignment vertical="center"/>
    </xf>
    <xf numFmtId="168" fontId="24" fillId="0" borderId="0" xfId="0" applyNumberFormat="1" applyFont="1" applyAlignment="1">
      <alignment horizontal="right" vertical="center"/>
    </xf>
    <xf numFmtId="0" fontId="21" fillId="0" borderId="0" xfId="0" applyFont="1"/>
    <xf numFmtId="167" fontId="27" fillId="0" borderId="0" xfId="0" applyNumberFormat="1" applyFont="1" applyAlignment="1">
      <alignment horizontal="right" vertical="center"/>
    </xf>
    <xf numFmtId="168" fontId="29" fillId="0" borderId="0" xfId="0" applyNumberFormat="1" applyFont="1" applyAlignment="1">
      <alignment horizontal="right" vertical="center"/>
    </xf>
    <xf numFmtId="0" fontId="14" fillId="0" borderId="0" xfId="0" applyFont="1"/>
    <xf numFmtId="0" fontId="14" fillId="7" borderId="0" xfId="0" applyFont="1" applyFill="1"/>
    <xf numFmtId="4" fontId="30" fillId="0" borderId="0" xfId="0" applyNumberFormat="1" applyFont="1" applyAlignment="1">
      <alignment vertical="center"/>
    </xf>
    <xf numFmtId="0" fontId="11" fillId="0" borderId="0" xfId="0" applyFont="1"/>
    <xf numFmtId="0" fontId="0" fillId="6" borderId="0" xfId="0" applyFill="1" applyAlignment="1">
      <alignment horizontal="center" vertical="center"/>
    </xf>
    <xf numFmtId="164" fontId="0" fillId="6" borderId="0" xfId="0" applyNumberFormat="1" applyFill="1"/>
    <xf numFmtId="164" fontId="0" fillId="2" borderId="8" xfId="0" applyNumberFormat="1" applyFill="1" applyBorder="1"/>
    <xf numFmtId="0" fontId="0" fillId="0" borderId="1" xfId="0" applyBorder="1" applyAlignment="1">
      <alignment vertical="top"/>
    </xf>
    <xf numFmtId="0" fontId="10" fillId="6" borderId="0" xfId="0" applyFont="1" applyFill="1"/>
    <xf numFmtId="165" fontId="5" fillId="6" borderId="0" xfId="0" applyNumberFormat="1" applyFont="1" applyFill="1" applyAlignment="1">
      <alignment horizontal="right"/>
    </xf>
    <xf numFmtId="0" fontId="12" fillId="6" borderId="0" xfId="0" applyFont="1" applyFill="1"/>
    <xf numFmtId="3" fontId="12" fillId="6" borderId="0" xfId="0" applyNumberFormat="1" applyFont="1" applyFill="1"/>
    <xf numFmtId="0" fontId="10" fillId="0" borderId="0" xfId="0" applyFont="1" applyAlignment="1">
      <alignment horizontal="right"/>
    </xf>
    <xf numFmtId="165" fontId="11" fillId="0" borderId="0" xfId="0" applyNumberFormat="1" applyFont="1" applyFill="1" applyAlignment="1">
      <alignment horizontal="right"/>
    </xf>
    <xf numFmtId="167" fontId="5" fillId="0" borderId="0" xfId="0" applyNumberFormat="1" applyFont="1"/>
    <xf numFmtId="4" fontId="31" fillId="0" borderId="0" xfId="0" applyNumberFormat="1" applyFont="1" applyAlignment="1">
      <alignment vertical="center"/>
    </xf>
    <xf numFmtId="4" fontId="28" fillId="0" borderId="0" xfId="0" applyNumberFormat="1" applyFont="1" applyAlignment="1">
      <alignment vertical="center"/>
    </xf>
    <xf numFmtId="0" fontId="11" fillId="0" borderId="1" xfId="0" applyFont="1" applyBorder="1"/>
    <xf numFmtId="0" fontId="34" fillId="0" borderId="0" xfId="0" applyFont="1" applyAlignment="1">
      <alignment horizontal="left"/>
    </xf>
    <xf numFmtId="2" fontId="35" fillId="0" borderId="0" xfId="0" applyNumberFormat="1" applyFont="1" applyBorder="1" applyAlignment="1">
      <alignment horizontal="left" vertical="center" wrapText="1"/>
    </xf>
    <xf numFmtId="0" fontId="1" fillId="9" borderId="2" xfId="0" applyFont="1" applyFill="1" applyBorder="1" applyAlignment="1">
      <alignment horizontal="left"/>
    </xf>
    <xf numFmtId="0" fontId="0" fillId="9" borderId="1" xfId="0" applyFill="1" applyBorder="1"/>
    <xf numFmtId="0" fontId="0" fillId="9" borderId="3" xfId="0" applyFill="1" applyBorder="1"/>
    <xf numFmtId="0" fontId="0" fillId="9" borderId="4" xfId="0" applyFill="1" applyBorder="1" applyAlignment="1">
      <alignment horizontal="right"/>
    </xf>
    <xf numFmtId="167" fontId="10" fillId="9" borderId="5" xfId="0" applyNumberFormat="1" applyFont="1" applyFill="1" applyBorder="1"/>
    <xf numFmtId="0" fontId="0" fillId="9" borderId="6" xfId="0" applyFill="1" applyBorder="1" applyAlignment="1">
      <alignment horizontal="right"/>
    </xf>
    <xf numFmtId="167" fontId="10" fillId="9" borderId="8" xfId="0" applyNumberFormat="1" applyFont="1" applyFill="1" applyBorder="1"/>
    <xf numFmtId="4" fontId="5" fillId="9" borderId="0" xfId="0" applyNumberFormat="1" applyFont="1" applyFill="1" applyBorder="1"/>
    <xf numFmtId="4" fontId="5" fillId="9" borderId="7" xfId="0" applyNumberFormat="1" applyFont="1" applyFill="1" applyBorder="1"/>
    <xf numFmtId="4" fontId="11" fillId="0" borderId="1" xfId="0" applyNumberFormat="1" applyFont="1" applyBorder="1"/>
    <xf numFmtId="4" fontId="11" fillId="5" borderId="0" xfId="0" applyNumberFormat="1" applyFont="1" applyFill="1" applyBorder="1"/>
    <xf numFmtId="4" fontId="5" fillId="0" borderId="1" xfId="0" applyNumberFormat="1" applyFont="1" applyBorder="1"/>
    <xf numFmtId="4" fontId="5" fillId="0" borderId="0" xfId="0" applyNumberFormat="1" applyFont="1"/>
    <xf numFmtId="0" fontId="36" fillId="0" borderId="12" xfId="0" applyFont="1" applyBorder="1" applyAlignment="1">
      <alignment horizontal="left"/>
    </xf>
    <xf numFmtId="0" fontId="10" fillId="0" borderId="0" xfId="0" applyFont="1"/>
    <xf numFmtId="4" fontId="11" fillId="0" borderId="0" xfId="0" applyNumberFormat="1" applyFont="1"/>
    <xf numFmtId="0" fontId="10" fillId="7" borderId="0" xfId="0" applyFont="1" applyFill="1"/>
    <xf numFmtId="0" fontId="37" fillId="3" borderId="0" xfId="0" applyFont="1" applyFill="1" applyAlignment="1">
      <alignment horizontal="center" vertical="center"/>
    </xf>
    <xf numFmtId="0" fontId="38" fillId="0" borderId="0" xfId="0" applyFont="1"/>
    <xf numFmtId="3" fontId="39" fillId="0" borderId="0" xfId="0" applyNumberFormat="1" applyFont="1"/>
    <xf numFmtId="0" fontId="40" fillId="0" borderId="0" xfId="0" applyFont="1"/>
    <xf numFmtId="0" fontId="11" fillId="0" borderId="0" xfId="0" applyFont="1" applyFill="1"/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409]d\-mmm\-yy;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4"/>
        </bottom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04757073179036E-2"/>
          <c:y val="6.0526308821855133E-2"/>
          <c:w val="0.51685799192557325"/>
          <c:h val="0.85204680065768745"/>
        </c:manualLayout>
      </c:layout>
      <c:pieChart>
        <c:varyColors val="1"/>
        <c:ser>
          <c:idx val="0"/>
          <c:order val="0"/>
          <c:dPt>
            <c:idx val="0"/>
            <c:bubble3D val="0"/>
            <c:explosion val="40"/>
          </c:dPt>
          <c:dPt>
            <c:idx val="1"/>
            <c:bubble3D val="0"/>
            <c:explosion val="35"/>
          </c:dPt>
          <c:dPt>
            <c:idx val="2"/>
            <c:bubble3D val="0"/>
            <c:explosion val="34"/>
          </c:dPt>
          <c:dPt>
            <c:idx val="3"/>
            <c:bubble3D val="0"/>
            <c:explosion val="29"/>
          </c:dPt>
          <c:dPt>
            <c:idx val="4"/>
            <c:bubble3D val="0"/>
            <c:explosion val="14"/>
          </c:dPt>
          <c:dPt>
            <c:idx val="5"/>
            <c:bubble3D val="0"/>
            <c:explosion val="19"/>
          </c:dPt>
          <c:cat>
            <c:strRef>
              <c:f>Carteira!$B$4:$B$23</c:f>
              <c:strCache>
                <c:ptCount val="6"/>
                <c:pt idx="0">
                  <c:v>ITUB4</c:v>
                </c:pt>
                <c:pt idx="1">
                  <c:v>VALE3</c:v>
                </c:pt>
                <c:pt idx="2">
                  <c:v>XPBR31</c:v>
                </c:pt>
                <c:pt idx="3">
                  <c:v>AMZO34</c:v>
                </c:pt>
                <c:pt idx="4">
                  <c:v>BOVA11</c:v>
                </c:pt>
                <c:pt idx="5">
                  <c:v>KNCA11</c:v>
                </c:pt>
              </c:strCache>
            </c:strRef>
          </c:cat>
          <c:val>
            <c:numRef>
              <c:f>Carteira!$J$4:$J$23</c:f>
              <c:numCache>
                <c:formatCode>0.0%</c:formatCode>
                <c:ptCount val="20"/>
                <c:pt idx="0">
                  <c:v>0.17113168883579491</c:v>
                </c:pt>
                <c:pt idx="1">
                  <c:v>0.20071284862109751</c:v>
                </c:pt>
                <c:pt idx="2">
                  <c:v>0.12182567254631212</c:v>
                </c:pt>
                <c:pt idx="3">
                  <c:v>0.24416878263997027</c:v>
                </c:pt>
                <c:pt idx="4">
                  <c:v>0.12960438567521188</c:v>
                </c:pt>
                <c:pt idx="5">
                  <c:v>0.13255662168161322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yVal>
            <c:numRef>
              <c:f>Serie!$B$3:$B$14</c:f>
              <c:numCache>
                <c:formatCode>#,##0.00</c:formatCode>
                <c:ptCount val="12"/>
                <c:pt idx="0">
                  <c:v>87977.760000000009</c:v>
                </c:pt>
                <c:pt idx="1">
                  <c:v>87000.2</c:v>
                </c:pt>
                <c:pt idx="2">
                  <c:v>87129.4</c:v>
                </c:pt>
                <c:pt idx="3">
                  <c:v>82448.600000000006</c:v>
                </c:pt>
                <c:pt idx="4">
                  <c:v>86719.12</c:v>
                </c:pt>
                <c:pt idx="5">
                  <c:v>84356.72</c:v>
                </c:pt>
                <c:pt idx="6">
                  <c:v>84370.8</c:v>
                </c:pt>
                <c:pt idx="7">
                  <c:v>83709.16</c:v>
                </c:pt>
              </c:numCache>
            </c:numRef>
          </c:yVal>
          <c:smooth val="1"/>
        </c:ser>
        <c:ser>
          <c:idx val="2"/>
          <c:order val="1"/>
          <c:yVal>
            <c:numRef>
              <c:f>Serie!$C$3:$C$14</c:f>
              <c:numCache>
                <c:formatCode>#,##0</c:formatCode>
                <c:ptCount val="12"/>
                <c:pt idx="0">
                  <c:v>112377</c:v>
                </c:pt>
                <c:pt idx="1">
                  <c:v>111232</c:v>
                </c:pt>
                <c:pt idx="2">
                  <c:v>110182</c:v>
                </c:pt>
                <c:pt idx="3">
                  <c:v>109832</c:v>
                </c:pt>
                <c:pt idx="4">
                  <c:v>113480</c:v>
                </c:pt>
                <c:pt idx="5">
                  <c:v>111018</c:v>
                </c:pt>
                <c:pt idx="6">
                  <c:v>109944</c:v>
                </c:pt>
                <c:pt idx="7">
                  <c:v>109682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15168"/>
        <c:axId val="11306880"/>
      </c:scatterChart>
      <c:valAx>
        <c:axId val="141415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1306880"/>
        <c:crosses val="autoZero"/>
        <c:crossBetween val="midCat"/>
      </c:valAx>
      <c:valAx>
        <c:axId val="11306880"/>
        <c:scaling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141415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365759</xdr:colOff>
      <xdr:row>5</xdr:row>
      <xdr:rowOff>159025</xdr:rowOff>
    </xdr:from>
    <xdr:to>
      <xdr:col>18</xdr:col>
      <xdr:colOff>15900</xdr:colOff>
      <xdr:row>19</xdr:row>
      <xdr:rowOff>127220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516834</xdr:colOff>
      <xdr:row>7</xdr:row>
      <xdr:rowOff>47708</xdr:rowOff>
    </xdr:from>
    <xdr:to>
      <xdr:col>11</xdr:col>
      <xdr:colOff>508883</xdr:colOff>
      <xdr:row>17</xdr:row>
      <xdr:rowOff>63610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nassau" ddeTopic="val">
    <ddeItems>
      <ddeItem name="AMZO34" advise="1">
        <values>
          <value>
            <val>31.34</val>
          </value>
        </values>
      </ddeItem>
      <ddeItem name="AMZO34.nome" advise="1">
        <values>
          <value t="str">
            <val>Amazon BDR</val>
          </value>
        </values>
      </ddeItem>
      <ddeItem name="atwood" advise="1">
        <values>
          <value t="str">
            <val>81.633 K</val>
          </value>
        </values>
      </ddeItem>
      <ddeItem name="BOVA11" advise="1">
        <values>
          <value>
            <val>105.8</val>
          </value>
        </values>
      </ddeItem>
      <ddeItem name="BOVA11.nome" advise="1">
        <values>
          <value t="str">
            <val>Ishares Ibovespa Fundo de</val>
          </value>
        </values>
      </ddeItem>
      <ddeItem name="ibov" advise="1">
        <values>
          <value>
            <val>109629</val>
          </value>
        </values>
      </ddeItem>
      <ddeItem name="ITUB4" advise="1">
        <values>
          <value>
            <val>27.94</val>
          </value>
        </values>
      </ddeItem>
      <ddeItem name="ITUB4.nome" advise="1">
        <values>
          <value t="str">
            <val>Itau Unibanco Holding SA</val>
          </value>
        </values>
      </ddeItem>
      <ddeItem name="KNCA11" advise="1">
        <values>
          <value>
            <val>108.21</val>
          </value>
        </values>
      </ddeItem>
      <ddeItem name="KNCA11.nome" advise="1">
        <values>
          <value t="str">
            <val>Kinea Credito Agro FIAGRO</val>
          </value>
        </values>
      </ddeItem>
      <ddeItem name="StdDocumentName" ole="1" advise="1"/>
      <ddeItem name="vale3" advise="1">
        <values>
          <value>
            <val>68.27</val>
          </value>
        </values>
      </ddeItem>
      <ddeItem name="vale3.nome" advise="1">
        <values>
          <value t="str">
            <val>Vale SA</val>
          </value>
        </values>
      </ddeItem>
      <ddeItem name="xpbr31" advise="1">
        <values>
          <value>
            <val>99.45</val>
          </value>
        </values>
      </ddeItem>
      <ddeItem name="xpbr31.nome" advise="1">
        <values>
          <value t="str">
            <val>XP Inc Bdr</val>
          </value>
        </values>
      </ddeItem>
    </ddeItems>
  </ddeLink>
</externalLink>
</file>

<file path=xl/tables/table1.xml><?xml version="1.0" encoding="utf-8"?>
<table xmlns="http://schemas.openxmlformats.org/spreadsheetml/2006/main" id="1" name="Tabela1" displayName="Tabela1" ref="A3:M23" totalsRowShown="0" headerRowDxfId="32">
  <autoFilter ref="A3:M23"/>
  <sortState ref="A4:M23">
    <sortCondition ref="A3:A23"/>
  </sortState>
  <tableColumns count="13">
    <tableColumn id="1" name="Num" dataDxfId="31"/>
    <tableColumn id="2" name="Ativo" dataDxfId="30"/>
    <tableColumn id="3" name="Qde"/>
    <tableColumn id="4" name="Valor Hist"/>
    <tableColumn id="5" name="PrMed"/>
    <tableColumn id="6" name="cont negs" dataDxfId="29"/>
    <tableColumn id="7" name="tipo" dataDxfId="28"/>
    <tableColumn id="8" name="cotação" dataDxfId="27"/>
    <tableColumn id="9" name="valor atu"/>
    <tableColumn id="10" name="part%"/>
    <tableColumn id="11" name="Lucro$"/>
    <tableColumn id="12" name="Valoriz"/>
    <tableColumn id="13" name="Descr" dataDxfId="2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K2:S13" totalsRowCount="1" headerRowDxfId="20" dataDxfId="23" headerRowBorderDxfId="21" tableBorderDxfId="22">
  <autoFilter ref="K2:S13"/>
  <sortState ref="K3:S12">
    <sortCondition ref="K2:K13"/>
  </sortState>
  <tableColumns count="9">
    <tableColumn id="1" name="Num" dataDxfId="19" totalsRowDxfId="12"/>
    <tableColumn id="2" name="Ativo" dataDxfId="18" totalsRowDxfId="11"/>
    <tableColumn id="3" name="rendimento" totalsRowFunction="custom" dataDxfId="16" totalsRowDxfId="4">
      <totalsRowFormula>SUM(Tabela2[rendimento])</totalsRowFormula>
    </tableColumn>
    <tableColumn id="4" name="num ev" dataDxfId="17" totalsRowDxfId="10"/>
    <tableColumn id="5" name="med p/ ev" dataDxfId="25" totalsRowDxfId="9"/>
    <tableColumn id="6" name="quant" dataDxfId="15" totalsRowDxfId="8"/>
    <tableColumn id="7" name="cot" dataDxfId="13" totalsRowDxfId="7"/>
    <tableColumn id="8" name="valor" dataDxfId="14" totalsRowDxfId="6"/>
    <tableColumn id="9" name="yield" dataDxfId="24" totalsRow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2:G22" totalsRowShown="0" headerRowDxfId="0">
  <autoFilter ref="A2:G22"/>
  <sortState ref="A3:G22">
    <sortCondition ref="A2:A22"/>
  </sortState>
  <tableColumns count="7">
    <tableColumn id="1" name="data"/>
    <tableColumn id="2" name="papel" dataDxfId="3"/>
    <tableColumn id="3" name="qde"/>
    <tableColumn id="4" name="valor rend" dataDxfId="2"/>
    <tableColumn id="5" name="tipo"/>
    <tableColumn id="6" name="$/ação"/>
    <tableColumn id="7" name="yield" dataDxfId="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26"/>
  <sheetViews>
    <sheetView tabSelected="1" workbookViewId="0">
      <pane ySplit="9" topLeftCell="A10" activePane="bottomLeft" state="frozen"/>
      <selection activeCell="E4" sqref="E4"/>
      <selection pane="bottomLeft" activeCell="H7" sqref="H7"/>
    </sheetView>
  </sheetViews>
  <sheetFormatPr defaultRowHeight="15.05" x14ac:dyDescent="0.3"/>
  <cols>
    <col min="1" max="1" width="4.6640625" customWidth="1"/>
    <col min="2" max="2" width="12" customWidth="1"/>
    <col min="3" max="3" width="5.33203125" customWidth="1"/>
    <col min="4" max="4" width="8.88671875" customWidth="1"/>
    <col min="5" max="5" width="9.21875" customWidth="1"/>
    <col min="6" max="6" width="11.33203125" customWidth="1"/>
    <col min="7" max="7" width="11" customWidth="1"/>
    <col min="8" max="8" width="8.6640625" customWidth="1"/>
    <col min="9" max="9" width="10.33203125" customWidth="1"/>
    <col min="10" max="10" width="6.88671875" customWidth="1"/>
    <col min="11" max="11" width="8.44140625" customWidth="1"/>
    <col min="12" max="12" width="10.88671875" customWidth="1"/>
    <col min="13" max="13" width="7.44140625" customWidth="1"/>
    <col min="14" max="14" width="10.44140625" customWidth="1"/>
  </cols>
  <sheetData>
    <row r="1" spans="1:14" ht="18.8" x14ac:dyDescent="0.25">
      <c r="A1" s="2" t="s">
        <v>21</v>
      </c>
      <c r="G1" s="73" t="s">
        <v>77</v>
      </c>
    </row>
    <row r="2" spans="1:14" ht="15.05" customHeight="1" x14ac:dyDescent="0.3">
      <c r="A2" s="13"/>
      <c r="B2" s="40"/>
      <c r="C2" s="41" t="s">
        <v>29</v>
      </c>
      <c r="D2" s="42">
        <v>88000</v>
      </c>
      <c r="E2" s="43"/>
      <c r="F2" s="41" t="s">
        <v>41</v>
      </c>
      <c r="G2" s="44">
        <f>I2+I3</f>
        <v>83633.040000000008</v>
      </c>
      <c r="H2" s="41" t="s">
        <v>40</v>
      </c>
      <c r="I2" s="44">
        <f>Carteira!I24</f>
        <v>81633.040000000008</v>
      </c>
      <c r="J2" s="41" t="s">
        <v>37</v>
      </c>
      <c r="K2" s="45">
        <f>SUM(I10:I1007)</f>
        <v>0</v>
      </c>
    </row>
    <row r="3" spans="1:14" ht="15.05" customHeight="1" x14ac:dyDescent="0.25">
      <c r="A3" s="6"/>
      <c r="B3" s="46"/>
      <c r="C3" s="47" t="s">
        <v>30</v>
      </c>
      <c r="D3" s="48">
        <v>88000</v>
      </c>
      <c r="E3" s="49">
        <f>D2/D3</f>
        <v>1</v>
      </c>
      <c r="F3" s="47" t="s">
        <v>33</v>
      </c>
      <c r="G3" s="49">
        <f>G2/D3</f>
        <v>0.95037545454545469</v>
      </c>
      <c r="H3" s="47" t="s">
        <v>31</v>
      </c>
      <c r="I3" s="50">
        <f>Carteira!I25</f>
        <v>2000</v>
      </c>
      <c r="J3" s="47" t="s">
        <v>8</v>
      </c>
      <c r="K3" s="51">
        <f>SUM(J10:J1007)</f>
        <v>0</v>
      </c>
    </row>
    <row r="4" spans="1:14" ht="2.2000000000000002" customHeight="1" x14ac:dyDescent="0.25">
      <c r="B4" s="1"/>
      <c r="C4" s="1"/>
      <c r="D4" s="1"/>
      <c r="E4" s="1"/>
    </row>
    <row r="5" spans="1:14" ht="2.2000000000000002" customHeight="1" x14ac:dyDescent="0.25">
      <c r="B5" s="1"/>
      <c r="C5" s="1"/>
      <c r="D5" s="1"/>
      <c r="E5" s="1"/>
    </row>
    <row r="6" spans="1:14" ht="15.05" customHeight="1" x14ac:dyDescent="0.3">
      <c r="A6" s="168" t="s">
        <v>43</v>
      </c>
      <c r="B6" s="167"/>
      <c r="C6" s="167"/>
      <c r="D6" s="167"/>
      <c r="E6" s="1"/>
    </row>
    <row r="7" spans="1:14" ht="13.5" customHeight="1" x14ac:dyDescent="0.3">
      <c r="A7" s="166" t="s">
        <v>42</v>
      </c>
      <c r="B7" s="167"/>
      <c r="C7" s="167"/>
      <c r="D7" s="167"/>
      <c r="E7" s="1"/>
    </row>
    <row r="8" spans="1:14" x14ac:dyDescent="0.3">
      <c r="A8" s="166" t="s">
        <v>34</v>
      </c>
      <c r="B8" s="167"/>
      <c r="C8" s="167"/>
      <c r="D8" s="167"/>
      <c r="E8" s="1"/>
      <c r="M8" s="24" t="s">
        <v>38</v>
      </c>
    </row>
    <row r="9" spans="1:14" x14ac:dyDescent="0.3">
      <c r="A9" s="9"/>
      <c r="B9" s="9" t="s">
        <v>2</v>
      </c>
      <c r="C9" s="10" t="s">
        <v>1</v>
      </c>
      <c r="D9" s="9" t="s">
        <v>5</v>
      </c>
      <c r="E9" s="9" t="s">
        <v>0</v>
      </c>
      <c r="F9" s="9" t="s">
        <v>9</v>
      </c>
      <c r="G9" s="12" t="s">
        <v>47</v>
      </c>
      <c r="H9" s="8"/>
      <c r="I9" s="8" t="s">
        <v>4</v>
      </c>
      <c r="J9" s="8" t="s">
        <v>8</v>
      </c>
      <c r="K9" s="107" t="s">
        <v>65</v>
      </c>
      <c r="L9" s="108" t="s">
        <v>36</v>
      </c>
      <c r="M9" s="109" t="s">
        <v>28</v>
      </c>
      <c r="N9" s="108" t="s">
        <v>27</v>
      </c>
    </row>
    <row r="10" spans="1:14" ht="12.05" customHeight="1" x14ac:dyDescent="0.3">
      <c r="A10" s="16" t="s">
        <v>20</v>
      </c>
      <c r="B10" s="70"/>
      <c r="C10" s="17"/>
      <c r="D10" s="16"/>
      <c r="E10" s="16"/>
      <c r="F10" s="16"/>
      <c r="G10" s="18">
        <f>SUM(L11:L13)</f>
        <v>-25990.197</v>
      </c>
      <c r="H10" s="18"/>
      <c r="I10" s="19">
        <v>0</v>
      </c>
      <c r="J10" s="19">
        <v>0</v>
      </c>
      <c r="K10" s="25"/>
      <c r="L10" s="36"/>
      <c r="M10" s="31"/>
      <c r="N10" s="27"/>
    </row>
    <row r="11" spans="1:14" ht="12.05" customHeight="1" x14ac:dyDescent="0.3">
      <c r="A11" s="15">
        <v>1</v>
      </c>
      <c r="B11" s="69">
        <v>42005</v>
      </c>
      <c r="C11" s="78" t="s">
        <v>3</v>
      </c>
      <c r="D11" s="103" t="s">
        <v>59</v>
      </c>
      <c r="E11" s="104">
        <v>438</v>
      </c>
      <c r="F11" s="14">
        <v>32.161000000000001</v>
      </c>
      <c r="G11" s="11"/>
      <c r="H11" s="11"/>
      <c r="I11" s="11"/>
      <c r="J11" s="11"/>
      <c r="K11" s="26">
        <f>E11*IF(C11="C",1,-1)</f>
        <v>438</v>
      </c>
      <c r="L11" s="37">
        <f>-K11*F11</f>
        <v>-14086.518</v>
      </c>
      <c r="M11" s="26">
        <f>IF(C11="C",E11,0)</f>
        <v>438</v>
      </c>
      <c r="N11" s="27">
        <f>M11*F11</f>
        <v>14086.518</v>
      </c>
    </row>
    <row r="12" spans="1:14" ht="12.05" customHeight="1" x14ac:dyDescent="0.3">
      <c r="A12" s="15">
        <v>2</v>
      </c>
      <c r="B12" s="69">
        <v>42005</v>
      </c>
      <c r="C12" s="78" t="s">
        <v>3</v>
      </c>
      <c r="D12" s="103" t="s">
        <v>50</v>
      </c>
      <c r="E12" s="104">
        <v>140</v>
      </c>
      <c r="F12" s="14">
        <v>77.521500000000003</v>
      </c>
      <c r="G12" s="74" t="s">
        <v>48</v>
      </c>
      <c r="H12" s="75">
        <f>-SUMIF(L11:L13,"&lt;0")</f>
        <v>25990.197</v>
      </c>
      <c r="I12" s="11"/>
      <c r="J12" s="11"/>
      <c r="K12" s="26">
        <f>E12*IF(C12="C",1,-1)</f>
        <v>140</v>
      </c>
      <c r="L12" s="37">
        <f>-K12*F12</f>
        <v>-10853.01</v>
      </c>
      <c r="M12" s="26">
        <f>IF(C12="C",E12,0)</f>
        <v>140</v>
      </c>
      <c r="N12" s="27">
        <f>M12*F12</f>
        <v>10853.01</v>
      </c>
    </row>
    <row r="13" spans="1:14" ht="12.05" customHeight="1" x14ac:dyDescent="0.3">
      <c r="A13" s="15">
        <v>3</v>
      </c>
      <c r="B13" s="69">
        <v>42005</v>
      </c>
      <c r="C13" s="78" t="s">
        <v>3</v>
      </c>
      <c r="D13" s="103" t="s">
        <v>60</v>
      </c>
      <c r="E13" s="104">
        <v>10</v>
      </c>
      <c r="F13" s="14">
        <v>105.0669</v>
      </c>
      <c r="G13" s="76" t="s">
        <v>49</v>
      </c>
      <c r="H13" s="77">
        <f>SUMIF(L11:L13,"&gt;0")</f>
        <v>0</v>
      </c>
      <c r="I13" s="11"/>
      <c r="J13" s="11"/>
      <c r="K13" s="26">
        <f>E13*IF(C13="C",1,-1)</f>
        <v>10</v>
      </c>
      <c r="L13" s="37">
        <f>-K13*F13</f>
        <v>-1050.6690000000001</v>
      </c>
      <c r="M13" s="26">
        <f>IF(C13="C",E13,0)</f>
        <v>10</v>
      </c>
      <c r="N13" s="27">
        <f>M13*F13</f>
        <v>1050.6690000000001</v>
      </c>
    </row>
    <row r="14" spans="1:14" ht="12.05" customHeight="1" x14ac:dyDescent="0.3">
      <c r="A14" s="16" t="s">
        <v>20</v>
      </c>
      <c r="B14" s="70"/>
      <c r="C14" s="17"/>
      <c r="D14" s="16"/>
      <c r="E14" s="16"/>
      <c r="F14" s="16"/>
      <c r="G14" s="18">
        <f>SUM(L15:L18)</f>
        <v>-4847.5</v>
      </c>
      <c r="H14" s="18"/>
      <c r="I14" s="19">
        <v>0</v>
      </c>
      <c r="J14" s="19">
        <v>0</v>
      </c>
      <c r="K14" s="25"/>
      <c r="L14" s="36"/>
      <c r="M14" s="31"/>
      <c r="N14" s="27"/>
    </row>
    <row r="15" spans="1:14" ht="12.05" customHeight="1" x14ac:dyDescent="0.3">
      <c r="A15" s="15">
        <v>1</v>
      </c>
      <c r="B15" s="69">
        <v>44713</v>
      </c>
      <c r="C15" s="78" t="s">
        <v>3</v>
      </c>
      <c r="D15" s="103" t="s">
        <v>61</v>
      </c>
      <c r="E15" s="104">
        <v>1000</v>
      </c>
      <c r="F15" s="14">
        <v>3.77</v>
      </c>
      <c r="G15" s="11"/>
      <c r="H15" s="11"/>
      <c r="I15" s="11"/>
      <c r="J15" s="11"/>
      <c r="K15" s="26">
        <f>E15*IF(C15="C",1,-1)</f>
        <v>1000</v>
      </c>
      <c r="L15" s="37">
        <f>-K15*F15</f>
        <v>-3770</v>
      </c>
      <c r="M15" s="26">
        <f>IF(C15="C",E15,0)</f>
        <v>1000</v>
      </c>
      <c r="N15" s="27">
        <f>M15*F15</f>
        <v>3770</v>
      </c>
    </row>
    <row r="16" spans="1:14" ht="12.05" customHeight="1" x14ac:dyDescent="0.3">
      <c r="A16" s="15">
        <v>2</v>
      </c>
      <c r="B16" s="69">
        <v>44713</v>
      </c>
      <c r="C16" s="78" t="s">
        <v>3</v>
      </c>
      <c r="D16" s="103" t="s">
        <v>62</v>
      </c>
      <c r="E16" s="104">
        <v>10</v>
      </c>
      <c r="F16" s="14">
        <v>107.75</v>
      </c>
      <c r="G16" s="74" t="s">
        <v>48</v>
      </c>
      <c r="H16" s="75">
        <f>-SUMIF(L15:L17,"&lt;0")</f>
        <v>4847.5</v>
      </c>
      <c r="I16" s="11"/>
      <c r="J16" s="11"/>
      <c r="K16" s="26">
        <f>E16*IF(C16="C",1,-1)</f>
        <v>10</v>
      </c>
      <c r="L16" s="37">
        <f>-K16*F16</f>
        <v>-1077.5</v>
      </c>
      <c r="M16" s="26">
        <f>IF(C16="C",E16,0)</f>
        <v>10</v>
      </c>
      <c r="N16" s="27">
        <f>M16*F16</f>
        <v>1077.5</v>
      </c>
    </row>
    <row r="17" spans="1:15" ht="12.05" customHeight="1" x14ac:dyDescent="0.3">
      <c r="A17" s="15">
        <v>3</v>
      </c>
      <c r="B17" s="69"/>
      <c r="C17" s="78"/>
      <c r="D17" s="103"/>
      <c r="E17" s="104"/>
      <c r="F17" s="14"/>
      <c r="G17" s="76" t="s">
        <v>49</v>
      </c>
      <c r="H17" s="77">
        <f>SUMIF(L15:L17,"&gt;0")</f>
        <v>0</v>
      </c>
      <c r="I17" s="11"/>
      <c r="J17" s="11"/>
      <c r="K17" s="26"/>
      <c r="L17" s="37"/>
      <c r="M17" s="26"/>
      <c r="N17" s="27"/>
    </row>
    <row r="18" spans="1:15" ht="12.05" customHeight="1" x14ac:dyDescent="0.3">
      <c r="A18" s="16" t="s">
        <v>20</v>
      </c>
      <c r="B18" s="70"/>
      <c r="C18" s="17"/>
      <c r="D18" s="16"/>
      <c r="E18" s="16"/>
      <c r="F18" s="16"/>
      <c r="G18" s="18">
        <f>SUM(L19:L23)</f>
        <v>-43175.200000000004</v>
      </c>
      <c r="H18" s="18"/>
      <c r="I18" s="19">
        <v>0</v>
      </c>
      <c r="J18" s="19">
        <v>0</v>
      </c>
      <c r="K18" s="25"/>
      <c r="L18" s="36"/>
      <c r="M18" s="36"/>
      <c r="N18" s="36"/>
    </row>
    <row r="19" spans="1:15" ht="12.05" customHeight="1" x14ac:dyDescent="0.3">
      <c r="A19" s="15">
        <v>1</v>
      </c>
      <c r="B19" s="69">
        <v>44714</v>
      </c>
      <c r="C19" s="78" t="s">
        <v>3</v>
      </c>
      <c r="D19" s="103" t="s">
        <v>63</v>
      </c>
      <c r="E19" s="104">
        <v>100</v>
      </c>
      <c r="F19" s="14">
        <v>107.01</v>
      </c>
      <c r="G19" s="11"/>
      <c r="H19" s="11"/>
      <c r="I19" s="11"/>
      <c r="J19" s="11"/>
      <c r="K19" s="26">
        <f>E19*IF(C19="C",1,-1)</f>
        <v>100</v>
      </c>
      <c r="L19" s="37">
        <f>-K19*F19</f>
        <v>-10701</v>
      </c>
      <c r="M19" s="26">
        <f>IF(C19="C",E19,0)</f>
        <v>100</v>
      </c>
      <c r="N19" s="27">
        <f>M19*F19</f>
        <v>10701</v>
      </c>
    </row>
    <row r="20" spans="1:15" ht="12.05" customHeight="1" x14ac:dyDescent="0.3">
      <c r="A20" s="15">
        <v>2</v>
      </c>
      <c r="B20" s="69">
        <v>44714</v>
      </c>
      <c r="C20" s="78" t="s">
        <v>3</v>
      </c>
      <c r="D20" s="103" t="s">
        <v>50</v>
      </c>
      <c r="E20" s="104">
        <v>100</v>
      </c>
      <c r="F20" s="14">
        <v>89.92</v>
      </c>
      <c r="G20" s="74" t="s">
        <v>48</v>
      </c>
      <c r="H20" s="75">
        <f>-SUMIF(L19:L23,"&lt;0")</f>
        <v>43175.200000000004</v>
      </c>
      <c r="I20" s="11"/>
      <c r="J20" s="11"/>
      <c r="K20" s="26">
        <f>E20*IF(C20="C",1,-1)</f>
        <v>100</v>
      </c>
      <c r="L20" s="37">
        <f>-K20*F20</f>
        <v>-8992</v>
      </c>
      <c r="M20" s="26">
        <f>IF(C20="C",E20,0)</f>
        <v>100</v>
      </c>
      <c r="N20" s="27">
        <f>M20*F20</f>
        <v>8992</v>
      </c>
    </row>
    <row r="21" spans="1:15" ht="12.05" customHeight="1" x14ac:dyDescent="0.3">
      <c r="A21" s="15">
        <v>3</v>
      </c>
      <c r="B21" s="69">
        <v>44714</v>
      </c>
      <c r="C21" s="78" t="s">
        <v>3</v>
      </c>
      <c r="D21" s="103" t="s">
        <v>60</v>
      </c>
      <c r="E21" s="104">
        <v>90</v>
      </c>
      <c r="F21" s="14">
        <v>110.17</v>
      </c>
      <c r="G21" s="76" t="s">
        <v>49</v>
      </c>
      <c r="H21" s="77">
        <f>SUMIF(L19:L23,"&gt;0")</f>
        <v>0</v>
      </c>
      <c r="I21" s="11"/>
      <c r="J21" s="11"/>
      <c r="K21" s="26">
        <f>E21*IF(C21="C",1,-1)</f>
        <v>90</v>
      </c>
      <c r="L21" s="37">
        <f>-K21*F21</f>
        <v>-9915.2999999999993</v>
      </c>
      <c r="M21" s="26">
        <f>IF(C21="C",E21,0)</f>
        <v>90</v>
      </c>
      <c r="N21" s="27">
        <f>M21*F21</f>
        <v>9915.2999999999993</v>
      </c>
      <c r="O21" s="30"/>
    </row>
    <row r="22" spans="1:15" ht="12.05" customHeight="1" x14ac:dyDescent="0.3">
      <c r="A22" s="15">
        <v>4</v>
      </c>
      <c r="B22" s="69">
        <v>44714</v>
      </c>
      <c r="C22" s="78" t="s">
        <v>3</v>
      </c>
      <c r="D22" s="103" t="s">
        <v>61</v>
      </c>
      <c r="E22" s="104">
        <v>1000</v>
      </c>
      <c r="F22" s="14">
        <v>3.81</v>
      </c>
      <c r="G22" s="11"/>
      <c r="H22" s="11"/>
      <c r="I22" s="11"/>
      <c r="J22" s="11"/>
      <c r="K22" s="26">
        <f>E22*IF(C22="C",1,-1)</f>
        <v>1000</v>
      </c>
      <c r="L22" s="37">
        <f>-K22*F22</f>
        <v>-3810</v>
      </c>
      <c r="M22" s="26">
        <f>IF(C22="C",E22,0)</f>
        <v>1000</v>
      </c>
      <c r="N22" s="27">
        <f>M22*F22</f>
        <v>3810</v>
      </c>
      <c r="O22" s="30"/>
    </row>
    <row r="23" spans="1:15" ht="12.05" customHeight="1" x14ac:dyDescent="0.3">
      <c r="A23" s="15">
        <v>5</v>
      </c>
      <c r="B23" s="69">
        <v>44714</v>
      </c>
      <c r="C23" s="78" t="s">
        <v>3</v>
      </c>
      <c r="D23" s="103" t="s">
        <v>62</v>
      </c>
      <c r="E23" s="104">
        <v>90</v>
      </c>
      <c r="F23" s="14">
        <v>108.41</v>
      </c>
      <c r="G23" s="11"/>
      <c r="H23" s="11"/>
      <c r="I23" s="11"/>
      <c r="J23" s="11"/>
      <c r="K23" s="26">
        <f>E23*IF(C23="C",1,-1)</f>
        <v>90</v>
      </c>
      <c r="L23" s="37">
        <f>-K23*F23</f>
        <v>-9756.9</v>
      </c>
      <c r="M23" s="26">
        <f>IF(C23="C",E23,0)</f>
        <v>90</v>
      </c>
      <c r="N23" s="27">
        <f>M23*F23</f>
        <v>9756.9</v>
      </c>
    </row>
    <row r="24" spans="1:15" ht="12.05" customHeight="1" x14ac:dyDescent="0.3">
      <c r="A24" s="16" t="s">
        <v>20</v>
      </c>
      <c r="B24" s="70"/>
      <c r="C24" s="17"/>
      <c r="D24" s="16"/>
      <c r="E24" s="16"/>
      <c r="F24" s="16"/>
      <c r="G24" s="18">
        <f>SUM(L25:L27)</f>
        <v>-12911.46</v>
      </c>
      <c r="H24" s="18"/>
      <c r="I24" s="19">
        <v>0</v>
      </c>
      <c r="J24" s="19">
        <v>0</v>
      </c>
      <c r="K24" s="25"/>
      <c r="L24" s="36"/>
      <c r="M24" s="36"/>
      <c r="N24" s="36"/>
    </row>
    <row r="25" spans="1:15" ht="12.05" customHeight="1" x14ac:dyDescent="0.3">
      <c r="A25" s="15">
        <v>1</v>
      </c>
      <c r="B25" s="69">
        <v>44715</v>
      </c>
      <c r="C25" s="78" t="s">
        <v>3</v>
      </c>
      <c r="D25" s="103" t="s">
        <v>61</v>
      </c>
      <c r="E25" s="104">
        <v>3000</v>
      </c>
      <c r="F25" s="14">
        <v>3.77</v>
      </c>
      <c r="G25" s="11"/>
      <c r="H25" s="11"/>
      <c r="I25" s="11"/>
      <c r="J25" s="11"/>
      <c r="K25" s="26">
        <f>E25*IF(C25="C",1,-1)</f>
        <v>3000</v>
      </c>
      <c r="L25" s="37">
        <f>-K25*F25</f>
        <v>-11310</v>
      </c>
      <c r="M25" s="26">
        <f>IF(C25="C",E25,0)</f>
        <v>3000</v>
      </c>
      <c r="N25" s="27">
        <f>M25*F25</f>
        <v>11310</v>
      </c>
    </row>
    <row r="26" spans="1:15" ht="12.05" customHeight="1" x14ac:dyDescent="0.3">
      <c r="A26" s="15">
        <v>2</v>
      </c>
      <c r="B26" s="69">
        <v>44715</v>
      </c>
      <c r="C26" s="78" t="s">
        <v>3</v>
      </c>
      <c r="D26" s="103" t="s">
        <v>59</v>
      </c>
      <c r="E26" s="104">
        <f>500-438</f>
        <v>62</v>
      </c>
      <c r="F26" s="14">
        <v>25.83</v>
      </c>
      <c r="G26" s="74" t="s">
        <v>48</v>
      </c>
      <c r="H26" s="75">
        <f>-SUMIF(L25:L27,"&lt;0")</f>
        <v>12911.46</v>
      </c>
      <c r="I26" s="11"/>
      <c r="J26" s="11"/>
      <c r="K26" s="26">
        <f>E26*IF(C26="C",1,-1)</f>
        <v>62</v>
      </c>
      <c r="L26" s="37">
        <f>-K26*F26</f>
        <v>-1601.4599999999998</v>
      </c>
      <c r="M26" s="26">
        <f>IF(C26="C",E26,0)</f>
        <v>62</v>
      </c>
      <c r="N26" s="27">
        <f>M26*F26</f>
        <v>1601.4599999999998</v>
      </c>
    </row>
    <row r="27" spans="1:15" ht="12.05" customHeight="1" x14ac:dyDescent="0.3">
      <c r="A27" s="15">
        <v>3</v>
      </c>
      <c r="B27" s="69"/>
      <c r="C27" s="78"/>
      <c r="D27" s="103"/>
      <c r="E27" s="104"/>
      <c r="F27" s="134"/>
      <c r="G27" s="76" t="s">
        <v>49</v>
      </c>
      <c r="H27" s="77">
        <f>SUMIF(L25:L27,"&gt;0")</f>
        <v>0</v>
      </c>
      <c r="I27" s="11"/>
      <c r="J27" s="11"/>
      <c r="K27" s="26"/>
      <c r="L27" s="37"/>
      <c r="M27" s="26"/>
      <c r="N27" s="27"/>
    </row>
    <row r="28" spans="1:15" ht="12.05" customHeight="1" x14ac:dyDescent="0.3">
      <c r="A28" s="145" t="s">
        <v>76</v>
      </c>
      <c r="B28" s="4"/>
      <c r="C28" s="135"/>
      <c r="D28" s="4"/>
      <c r="E28" s="4"/>
      <c r="F28" s="64"/>
      <c r="G28" s="18">
        <f>SUM(L29:L30)</f>
        <v>0</v>
      </c>
      <c r="H28" s="18"/>
      <c r="I28" s="19">
        <v>0</v>
      </c>
      <c r="J28" s="19">
        <v>0</v>
      </c>
      <c r="K28" s="26"/>
      <c r="L28" s="37"/>
      <c r="M28" s="26"/>
      <c r="N28" s="27"/>
    </row>
    <row r="29" spans="1:15" ht="12.05" customHeight="1" x14ac:dyDescent="0.3">
      <c r="A29" s="136">
        <v>1</v>
      </c>
      <c r="B29" s="137">
        <v>44774</v>
      </c>
      <c r="C29" s="132" t="s">
        <v>69</v>
      </c>
      <c r="D29" s="138" t="s">
        <v>61</v>
      </c>
      <c r="E29" s="139">
        <v>5000</v>
      </c>
      <c r="F29" s="133">
        <v>5.1837999999999997</v>
      </c>
      <c r="G29" s="74" t="s">
        <v>48</v>
      </c>
      <c r="H29" s="75">
        <f>E30*F30</f>
        <v>25919.000000000004</v>
      </c>
      <c r="I29" s="11"/>
      <c r="J29" s="11"/>
      <c r="K29" s="26">
        <f>E29*IF(C29="C",1,-1)</f>
        <v>-5000</v>
      </c>
      <c r="L29" s="37">
        <f>-K29*F29</f>
        <v>25919</v>
      </c>
      <c r="M29" s="26">
        <f>IF(C29="C",E29,0)</f>
        <v>0</v>
      </c>
      <c r="N29" s="27">
        <f>M29*F29</f>
        <v>0</v>
      </c>
    </row>
    <row r="30" spans="1:15" ht="12.05" customHeight="1" x14ac:dyDescent="0.3">
      <c r="A30" s="136">
        <v>2</v>
      </c>
      <c r="B30" s="137">
        <v>44775</v>
      </c>
      <c r="C30" s="132" t="s">
        <v>3</v>
      </c>
      <c r="D30" s="138" t="s">
        <v>61</v>
      </c>
      <c r="E30" s="139">
        <v>636</v>
      </c>
      <c r="F30" s="133">
        <f>H30/636</f>
        <v>40.753144654088054</v>
      </c>
      <c r="G30" s="76" t="s">
        <v>49</v>
      </c>
      <c r="H30" s="77">
        <f>E29*F29</f>
        <v>25919</v>
      </c>
      <c r="I30" s="11"/>
      <c r="J30" s="11"/>
      <c r="K30" s="26">
        <f>E30*IF(C30="C",1,-1)</f>
        <v>636</v>
      </c>
      <c r="L30" s="37">
        <f>-K30*F30</f>
        <v>-25919.000000000004</v>
      </c>
      <c r="M30" s="26">
        <f>IF(C30="C",E30,0)</f>
        <v>636</v>
      </c>
      <c r="N30" s="27">
        <f>M30*F30</f>
        <v>25919.000000000004</v>
      </c>
    </row>
    <row r="31" spans="1:15" ht="12.05" customHeight="1" x14ac:dyDescent="0.3">
      <c r="A31" s="64"/>
      <c r="B31" s="64"/>
      <c r="C31" s="64"/>
      <c r="D31" s="64"/>
      <c r="E31" s="64"/>
      <c r="F31" s="64"/>
      <c r="I31" s="56"/>
      <c r="J31" s="56"/>
    </row>
    <row r="32" spans="1:15" ht="12.05" customHeight="1" x14ac:dyDescent="0.25">
      <c r="A32" s="52"/>
      <c r="B32" s="53"/>
      <c r="C32" s="54"/>
      <c r="D32" s="52"/>
      <c r="E32" s="52"/>
      <c r="F32" s="52"/>
      <c r="G32" s="55"/>
      <c r="H32" s="55"/>
      <c r="I32" s="56"/>
      <c r="J32" s="56"/>
      <c r="K32" s="57"/>
      <c r="L32" s="58"/>
      <c r="M32" s="57"/>
      <c r="N32" s="57"/>
    </row>
    <row r="33" spans="1:14" ht="12.05" customHeight="1" x14ac:dyDescent="0.25">
      <c r="A33" s="59"/>
      <c r="B33" s="60"/>
      <c r="C33" s="61"/>
      <c r="D33" s="57"/>
      <c r="E33" s="62"/>
      <c r="F33" s="63"/>
      <c r="G33" s="64"/>
      <c r="H33" s="64"/>
      <c r="I33" s="64"/>
      <c r="J33" s="64"/>
      <c r="K33" s="65"/>
      <c r="L33" s="66"/>
      <c r="M33" s="65"/>
      <c r="N33" s="67"/>
    </row>
    <row r="34" spans="1:14" ht="12.05" customHeight="1" x14ac:dyDescent="0.25">
      <c r="A34" s="59"/>
      <c r="B34" s="60"/>
      <c r="C34" s="61"/>
      <c r="D34" s="57"/>
      <c r="E34" s="62"/>
      <c r="F34" s="63"/>
      <c r="G34" s="64"/>
      <c r="H34" s="64"/>
      <c r="I34" s="64"/>
      <c r="J34" s="64"/>
      <c r="K34" s="65"/>
      <c r="L34" s="66"/>
      <c r="M34" s="65"/>
      <c r="N34" s="67"/>
    </row>
    <row r="35" spans="1:14" ht="12.05" customHeight="1" x14ac:dyDescent="0.25">
      <c r="A35" s="59"/>
      <c r="B35" s="60"/>
      <c r="C35" s="61"/>
      <c r="D35" s="57"/>
      <c r="E35" s="62"/>
      <c r="F35" s="63"/>
      <c r="G35" s="64"/>
      <c r="H35" s="64"/>
      <c r="I35" s="64"/>
      <c r="J35" s="64"/>
      <c r="K35" s="65"/>
      <c r="L35" s="66"/>
      <c r="M35" s="65"/>
      <c r="N35" s="67"/>
    </row>
    <row r="36" spans="1:14" ht="12.05" customHeight="1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1:14" ht="12.05" customHeight="1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1:14" ht="12.05" customHeight="1" x14ac:dyDescent="0.25"/>
    <row r="39" spans="1:14" ht="12.05" customHeight="1" x14ac:dyDescent="0.25"/>
    <row r="40" spans="1:14" ht="12.05" customHeight="1" x14ac:dyDescent="0.3"/>
    <row r="41" spans="1:14" ht="12.05" customHeight="1" x14ac:dyDescent="0.3"/>
    <row r="42" spans="1:14" ht="12.05" customHeight="1" x14ac:dyDescent="0.3"/>
    <row r="43" spans="1:14" ht="12.05" customHeight="1" x14ac:dyDescent="0.3"/>
    <row r="44" spans="1:14" ht="12.05" customHeight="1" x14ac:dyDescent="0.3"/>
    <row r="45" spans="1:14" ht="12.05" customHeight="1" x14ac:dyDescent="0.3"/>
    <row r="46" spans="1:14" ht="12.05" customHeight="1" x14ac:dyDescent="0.3"/>
    <row r="47" spans="1:14" ht="12.05" customHeight="1" x14ac:dyDescent="0.3"/>
    <row r="48" spans="1:14" ht="12.05" customHeight="1" x14ac:dyDescent="0.3"/>
    <row r="49" ht="12.05" customHeight="1" x14ac:dyDescent="0.3"/>
    <row r="50" ht="12.05" customHeight="1" x14ac:dyDescent="0.3"/>
    <row r="51" ht="12.05" customHeight="1" x14ac:dyDescent="0.3"/>
    <row r="52" ht="12.05" customHeight="1" x14ac:dyDescent="0.3"/>
    <row r="53" ht="12.05" customHeight="1" x14ac:dyDescent="0.3"/>
    <row r="54" ht="12.05" customHeight="1" x14ac:dyDescent="0.3"/>
    <row r="55" ht="12.05" customHeight="1" x14ac:dyDescent="0.3"/>
    <row r="56" ht="12.05" customHeight="1" x14ac:dyDescent="0.3"/>
    <row r="57" ht="12.05" customHeight="1" x14ac:dyDescent="0.3"/>
    <row r="58" ht="12.05" customHeight="1" x14ac:dyDescent="0.3"/>
    <row r="59" ht="12.05" customHeight="1" x14ac:dyDescent="0.3"/>
    <row r="60" ht="12.05" customHeight="1" x14ac:dyDescent="0.3"/>
    <row r="61" ht="12.05" customHeight="1" x14ac:dyDescent="0.3"/>
    <row r="62" ht="12.05" customHeight="1" x14ac:dyDescent="0.3"/>
    <row r="63" ht="12.05" customHeight="1" x14ac:dyDescent="0.3"/>
    <row r="64" ht="12.05" customHeight="1" x14ac:dyDescent="0.3"/>
    <row r="65" ht="12.05" customHeight="1" x14ac:dyDescent="0.3"/>
    <row r="66" ht="12.05" customHeight="1" x14ac:dyDescent="0.3"/>
    <row r="67" ht="12.05" customHeight="1" x14ac:dyDescent="0.3"/>
    <row r="68" ht="12.05" customHeight="1" x14ac:dyDescent="0.3"/>
    <row r="69" ht="12.05" customHeight="1" x14ac:dyDescent="0.3"/>
    <row r="70" ht="12.05" customHeight="1" x14ac:dyDescent="0.3"/>
    <row r="71" ht="12.05" customHeight="1" x14ac:dyDescent="0.3"/>
    <row r="72" ht="12.05" customHeight="1" x14ac:dyDescent="0.3"/>
    <row r="73" ht="12.05" customHeight="1" x14ac:dyDescent="0.3"/>
    <row r="74" ht="12.05" customHeight="1" x14ac:dyDescent="0.3"/>
    <row r="75" ht="12.05" customHeight="1" x14ac:dyDescent="0.3"/>
    <row r="76" ht="12.05" customHeight="1" x14ac:dyDescent="0.3"/>
    <row r="77" ht="12.05" customHeight="1" x14ac:dyDescent="0.3"/>
    <row r="78" ht="12.05" customHeight="1" x14ac:dyDescent="0.3"/>
    <row r="79" ht="12.05" customHeight="1" x14ac:dyDescent="0.3"/>
    <row r="80" ht="12.05" customHeight="1" x14ac:dyDescent="0.3"/>
    <row r="81" ht="12.05" customHeight="1" x14ac:dyDescent="0.3"/>
    <row r="82" ht="12.05" customHeight="1" x14ac:dyDescent="0.3"/>
    <row r="83" ht="12.05" customHeight="1" x14ac:dyDescent="0.3"/>
    <row r="84" ht="12.05" customHeight="1" x14ac:dyDescent="0.3"/>
    <row r="85" ht="12.05" customHeight="1" x14ac:dyDescent="0.3"/>
    <row r="86" ht="12.05" customHeight="1" x14ac:dyDescent="0.3"/>
    <row r="87" ht="12.05" customHeight="1" x14ac:dyDescent="0.3"/>
    <row r="88" ht="12.05" customHeight="1" x14ac:dyDescent="0.3"/>
    <row r="89" ht="12.05" customHeight="1" x14ac:dyDescent="0.3"/>
    <row r="90" ht="12.05" customHeight="1" x14ac:dyDescent="0.3"/>
    <row r="91" ht="12.05" customHeight="1" x14ac:dyDescent="0.3"/>
    <row r="92" ht="12.05" customHeight="1" x14ac:dyDescent="0.3"/>
    <row r="93" ht="12.05" customHeight="1" x14ac:dyDescent="0.3"/>
    <row r="94" ht="12.05" customHeight="1" x14ac:dyDescent="0.3"/>
    <row r="95" ht="12.05" customHeight="1" x14ac:dyDescent="0.3"/>
    <row r="96" ht="12.05" customHeight="1" x14ac:dyDescent="0.3"/>
    <row r="97" ht="12.05" customHeight="1" x14ac:dyDescent="0.3"/>
    <row r="98" ht="12.05" customHeight="1" x14ac:dyDescent="0.3"/>
    <row r="99" ht="12.05" customHeight="1" x14ac:dyDescent="0.3"/>
    <row r="100" ht="12.05" customHeight="1" x14ac:dyDescent="0.3"/>
    <row r="101" ht="12.05" customHeight="1" x14ac:dyDescent="0.3"/>
    <row r="102" ht="12.05" customHeight="1" x14ac:dyDescent="0.3"/>
    <row r="103" ht="12.05" customHeight="1" x14ac:dyDescent="0.3"/>
    <row r="104" ht="12.05" customHeight="1" x14ac:dyDescent="0.3"/>
    <row r="105" ht="12.05" customHeight="1" x14ac:dyDescent="0.3"/>
    <row r="106" ht="12.05" customHeight="1" x14ac:dyDescent="0.3"/>
    <row r="107" ht="12.05" customHeight="1" x14ac:dyDescent="0.3"/>
    <row r="108" ht="12.05" customHeight="1" x14ac:dyDescent="0.3"/>
    <row r="109" ht="12.05" customHeight="1" x14ac:dyDescent="0.3"/>
    <row r="110" ht="12.05" customHeight="1" x14ac:dyDescent="0.3"/>
    <row r="111" ht="12.05" customHeight="1" x14ac:dyDescent="0.3"/>
    <row r="112" ht="12.05" customHeight="1" x14ac:dyDescent="0.3"/>
    <row r="113" ht="12.05" customHeight="1" x14ac:dyDescent="0.3"/>
    <row r="114" ht="12.05" customHeight="1" x14ac:dyDescent="0.3"/>
    <row r="115" ht="12.05" customHeight="1" x14ac:dyDescent="0.3"/>
    <row r="116" ht="12.05" customHeight="1" x14ac:dyDescent="0.3"/>
    <row r="117" ht="12.05" customHeight="1" x14ac:dyDescent="0.3"/>
    <row r="118" ht="12.05" customHeight="1" x14ac:dyDescent="0.3"/>
    <row r="119" ht="12.05" customHeight="1" x14ac:dyDescent="0.3"/>
    <row r="120" ht="12.05" customHeight="1" x14ac:dyDescent="0.3"/>
    <row r="121" ht="12.05" customHeight="1" x14ac:dyDescent="0.3"/>
    <row r="122" ht="12.05" customHeight="1" x14ac:dyDescent="0.3"/>
    <row r="123" ht="12.05" customHeight="1" x14ac:dyDescent="0.3"/>
    <row r="124" ht="12.05" customHeight="1" x14ac:dyDescent="0.3"/>
    <row r="125" ht="12.05" customHeight="1" x14ac:dyDescent="0.3"/>
    <row r="126" ht="12.05" customHeight="1" x14ac:dyDescent="0.3"/>
  </sheetData>
  <sortState ref="A3:D33">
    <sortCondition ref="A3:A33"/>
  </sortState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33"/>
  <sheetViews>
    <sheetView workbookViewId="0">
      <pane ySplit="3" topLeftCell="A4" activePane="bottomLeft" state="frozen"/>
      <selection pane="bottomLeft" activeCell="L31" sqref="L31"/>
    </sheetView>
  </sheetViews>
  <sheetFormatPr defaultRowHeight="15.05" x14ac:dyDescent="0.3"/>
  <cols>
    <col min="1" max="1" width="5.88671875" customWidth="1"/>
    <col min="2" max="2" width="6.5546875" customWidth="1"/>
    <col min="3" max="3" width="6" customWidth="1"/>
    <col min="4" max="4" width="9.109375" customWidth="1"/>
    <col min="5" max="5" width="10.109375" customWidth="1"/>
    <col min="6" max="6" width="6.77734375" customWidth="1"/>
    <col min="7" max="7" width="6" customWidth="1"/>
    <col min="8" max="8" width="8.88671875" customWidth="1"/>
    <col min="9" max="9" width="10.109375" customWidth="1"/>
    <col min="10" max="10" width="7.5546875" customWidth="1"/>
    <col min="11" max="11" width="8" customWidth="1"/>
    <col min="12" max="12" width="7.109375" customWidth="1"/>
    <col min="13" max="13" width="17" customWidth="1"/>
  </cols>
  <sheetData>
    <row r="1" spans="1:13" ht="10.8" customHeight="1" x14ac:dyDescent="0.3">
      <c r="A1" s="38" t="s">
        <v>25</v>
      </c>
    </row>
    <row r="2" spans="1:13" ht="10.8" customHeight="1" x14ac:dyDescent="0.3">
      <c r="A2" s="24" t="s">
        <v>39</v>
      </c>
    </row>
    <row r="3" spans="1:13" ht="10.8" customHeight="1" x14ac:dyDescent="0.3">
      <c r="A3" s="110" t="s">
        <v>66</v>
      </c>
      <c r="B3" s="32" t="s">
        <v>6</v>
      </c>
      <c r="C3" s="32" t="s">
        <v>32</v>
      </c>
      <c r="D3" s="68" t="s">
        <v>19</v>
      </c>
      <c r="E3" s="68" t="s">
        <v>7</v>
      </c>
      <c r="F3" s="32" t="s">
        <v>22</v>
      </c>
      <c r="G3" s="32" t="s">
        <v>23</v>
      </c>
      <c r="H3" s="32" t="s">
        <v>15</v>
      </c>
      <c r="I3" s="32" t="s">
        <v>16</v>
      </c>
      <c r="J3" s="32" t="s">
        <v>17</v>
      </c>
      <c r="K3" s="32" t="s">
        <v>18</v>
      </c>
      <c r="L3" s="33" t="s">
        <v>24</v>
      </c>
      <c r="M3" s="32" t="s">
        <v>64</v>
      </c>
    </row>
    <row r="4" spans="1:13" ht="13.3" customHeight="1" x14ac:dyDescent="0.3">
      <c r="A4" s="28">
        <v>1</v>
      </c>
      <c r="B4" s="169" t="s">
        <v>59</v>
      </c>
      <c r="C4" s="118">
        <f>SUMIFS(Notas!$K$10:$K$1008,Notas!$D$10:$D$1008,B4)</f>
        <v>500</v>
      </c>
      <c r="D4" s="119">
        <f t="shared" ref="D4:D9" si="0">C4*E4</f>
        <v>15687.977999999999</v>
      </c>
      <c r="E4" s="120">
        <f>SUMIFS(Notas!$N$10:$N$1008,Notas!$D$10:$D$1008,B4)/SUMIFS(Notas!$M$10:$M$1008,Notas!$D$10:$D$1008,B4)</f>
        <v>31.375955999999999</v>
      </c>
      <c r="F4" s="121">
        <f>ABS(COUNTIFS(Notas!$D$10:$D$1008,B4))</f>
        <v>2</v>
      </c>
      <c r="G4" s="122" t="s">
        <v>10</v>
      </c>
      <c r="H4" s="111">
        <f>[1]!ITUB4</f>
        <v>27.94</v>
      </c>
      <c r="I4" s="144">
        <f t="shared" ref="I4:I9" si="1">C4*H4</f>
        <v>13970</v>
      </c>
      <c r="J4" s="102">
        <f t="shared" ref="J4:J9" si="2">I4/$I$24</f>
        <v>0.17113168883579491</v>
      </c>
      <c r="K4" s="123">
        <f t="shared" ref="K4:K9" si="3">I4-D4</f>
        <v>-1717.9779999999992</v>
      </c>
      <c r="L4" s="124">
        <f t="shared" ref="L4:L9" si="4">K4/D4</f>
        <v>-0.10950920507410192</v>
      </c>
      <c r="M4" s="147" t="str">
        <f>[1]!ITUB4.nome</f>
        <v>Itau Unibanco Holding SA</v>
      </c>
    </row>
    <row r="5" spans="1:13" ht="13.3" customHeight="1" x14ac:dyDescent="0.3">
      <c r="A5" s="28">
        <v>2</v>
      </c>
      <c r="B5" s="169" t="s">
        <v>50</v>
      </c>
      <c r="C5" s="118">
        <f>SUMIFS(Notas!$K$10:$K$1008,Notas!$D$10:$D$1008,B5)</f>
        <v>240</v>
      </c>
      <c r="D5" s="119">
        <f t="shared" si="0"/>
        <v>19845.010000000002</v>
      </c>
      <c r="E5" s="120">
        <f>SUMIFS(Notas!$N$10:$N$1008,Notas!$D$10:$D$1008,B5)/SUMIFS(Notas!$M$10:$M$1008,Notas!$D$10:$D$1008,B5)</f>
        <v>82.687541666666675</v>
      </c>
      <c r="F5" s="121">
        <f>ABS(COUNTIFS(Notas!$D$10:$D$498,B5))</f>
        <v>2</v>
      </c>
      <c r="G5" s="122" t="s">
        <v>10</v>
      </c>
      <c r="H5" s="111">
        <f>[1]!vale3</f>
        <v>68.27</v>
      </c>
      <c r="I5" s="144">
        <f t="shared" si="1"/>
        <v>16384.8</v>
      </c>
      <c r="J5" s="102">
        <f t="shared" si="2"/>
        <v>0.20071284862109751</v>
      </c>
      <c r="K5" s="123">
        <f t="shared" si="3"/>
        <v>-3460.2100000000028</v>
      </c>
      <c r="L5" s="124">
        <f t="shared" si="4"/>
        <v>-0.17436171611906481</v>
      </c>
      <c r="M5" s="147" t="str">
        <f>[1]!vale3.nome</f>
        <v>Vale SA</v>
      </c>
    </row>
    <row r="6" spans="1:13" ht="13.3" customHeight="1" x14ac:dyDescent="0.3">
      <c r="A6" s="116">
        <v>3</v>
      </c>
      <c r="B6" s="169" t="s">
        <v>60</v>
      </c>
      <c r="C6" s="118">
        <f>SUMIFS(Notas!$K$10:$K$1008,Notas!$D$10:$D$1008,B6)</f>
        <v>100</v>
      </c>
      <c r="D6" s="119">
        <f t="shared" si="0"/>
        <v>10965.968999999999</v>
      </c>
      <c r="E6" s="120">
        <f>SUMIFS(Notas!$N$10:$N$1008,Notas!$D$10:$D$1008,B6)/SUMIFS(Notas!$M$10:$M$1008,Notas!$D$10:$D$1008,B6)</f>
        <v>109.65969</v>
      </c>
      <c r="F6" s="121">
        <f>ABS(COUNTIFS(Notas!$D$10:$D$498,B6))</f>
        <v>2</v>
      </c>
      <c r="G6" s="122" t="s">
        <v>10</v>
      </c>
      <c r="H6" s="111">
        <f>[1]!xpbr31</f>
        <v>99.45</v>
      </c>
      <c r="I6" s="143">
        <f t="shared" si="1"/>
        <v>9945</v>
      </c>
      <c r="J6" s="102">
        <f t="shared" si="2"/>
        <v>0.12182567254631212</v>
      </c>
      <c r="K6" s="123">
        <f t="shared" si="3"/>
        <v>-1020.9689999999991</v>
      </c>
      <c r="L6" s="124">
        <f t="shared" si="4"/>
        <v>-9.3103400164636543E-2</v>
      </c>
      <c r="M6" s="147" t="str">
        <f>[1]!xpbr31.nome</f>
        <v>XP Inc Bdr</v>
      </c>
    </row>
    <row r="7" spans="1:13" ht="13.3" customHeight="1" x14ac:dyDescent="0.3">
      <c r="A7" s="125">
        <v>4</v>
      </c>
      <c r="B7" s="169" t="s">
        <v>61</v>
      </c>
      <c r="C7" s="118">
        <f>SUMIFS(Notas!$K$10:$K$1008,Notas!$D$10:$D$1008,B7)</f>
        <v>636</v>
      </c>
      <c r="D7" s="119">
        <f t="shared" si="0"/>
        <v>5056.5159687721789</v>
      </c>
      <c r="E7" s="120">
        <f>SUMIFS(Notas!$N$10:$N$1008,Notas!$D$10:$D$1008,B7)/SUMIFS(Notas!$M$10:$M$1008,Notas!$D$10:$D$1008,B7)</f>
        <v>7.9504968062455639</v>
      </c>
      <c r="F7" s="121">
        <f>ABS(COUNTIFS(Notas!$D$10:$D$498,B7))</f>
        <v>5</v>
      </c>
      <c r="G7" s="122" t="s">
        <v>13</v>
      </c>
      <c r="H7" s="111">
        <f>[1]!AMZO34</f>
        <v>31.34</v>
      </c>
      <c r="I7" s="143">
        <f t="shared" si="1"/>
        <v>19932.240000000002</v>
      </c>
      <c r="J7" s="102">
        <f t="shared" si="2"/>
        <v>0.24416878263997027</v>
      </c>
      <c r="K7" s="123">
        <f t="shared" si="3"/>
        <v>14875.724031227823</v>
      </c>
      <c r="L7" s="124">
        <f t="shared" si="4"/>
        <v>2.941892030618849</v>
      </c>
      <c r="M7" s="147" t="str">
        <f>[1]!AMZO34.nome</f>
        <v>Amazon BDR</v>
      </c>
    </row>
    <row r="8" spans="1:13" ht="13.3" customHeight="1" x14ac:dyDescent="0.3">
      <c r="A8" s="125">
        <v>5</v>
      </c>
      <c r="B8" s="169" t="s">
        <v>62</v>
      </c>
      <c r="C8" s="118">
        <f>SUMIFS(Notas!$K$10:$K$1008,Notas!$D$10:$D$1008,B8)</f>
        <v>100</v>
      </c>
      <c r="D8" s="119">
        <f t="shared" si="0"/>
        <v>10834.4</v>
      </c>
      <c r="E8" s="120">
        <f>SUMIFS(Notas!$N$10:$N$1008,Notas!$D$10:$D$1008,B8)/SUMIFS(Notas!$M$10:$M$1008,Notas!$D$10:$D$1008,B8)</f>
        <v>108.34399999999999</v>
      </c>
      <c r="F8" s="121">
        <f>ABS(COUNTIFS(Notas!$D$10:$D$498,B8))</f>
        <v>2</v>
      </c>
      <c r="G8" s="122" t="s">
        <v>11</v>
      </c>
      <c r="H8" s="111">
        <f>[1]!BOVA11</f>
        <v>105.8</v>
      </c>
      <c r="I8" s="143">
        <f t="shared" si="1"/>
        <v>10580</v>
      </c>
      <c r="J8" s="102">
        <f t="shared" si="2"/>
        <v>0.12960438567521188</v>
      </c>
      <c r="K8" s="123">
        <f t="shared" si="3"/>
        <v>-254.39999999999964</v>
      </c>
      <c r="L8" s="124">
        <f t="shared" si="4"/>
        <v>-2.3480764970833609E-2</v>
      </c>
      <c r="M8" s="147" t="str">
        <f>[1]!BOVA11.nome</f>
        <v>Ishares Ibovespa Fundo de</v>
      </c>
    </row>
    <row r="9" spans="1:13" ht="13.3" customHeight="1" x14ac:dyDescent="0.3">
      <c r="A9" s="125">
        <v>6</v>
      </c>
      <c r="B9" s="169" t="s">
        <v>63</v>
      </c>
      <c r="C9" s="118">
        <f>SUMIFS(Notas!$K$10:$K$1008,Notas!$D$10:$D$1008,B9)</f>
        <v>100</v>
      </c>
      <c r="D9" s="119">
        <f t="shared" si="0"/>
        <v>10701</v>
      </c>
      <c r="E9" s="120">
        <f>SUMIFS(Notas!$N$10:$N$1008,Notas!$D$10:$D$1008,B9)/SUMIFS(Notas!$M$10:$M$1008,Notas!$D$10:$D$1008,B9)</f>
        <v>107.01</v>
      </c>
      <c r="F9" s="121">
        <f>ABS(COUNTIFS(Notas!$D$10:$D$498,B9))</f>
        <v>1</v>
      </c>
      <c r="G9" s="122" t="s">
        <v>12</v>
      </c>
      <c r="H9" s="111">
        <f>[1]!KNCA11</f>
        <v>108.21</v>
      </c>
      <c r="I9" s="143">
        <f t="shared" si="1"/>
        <v>10821</v>
      </c>
      <c r="J9" s="102">
        <f t="shared" si="2"/>
        <v>0.13255662168161322</v>
      </c>
      <c r="K9" s="123">
        <f t="shared" si="3"/>
        <v>120</v>
      </c>
      <c r="L9" s="124">
        <f t="shared" si="4"/>
        <v>1.1213905242500702E-2</v>
      </c>
      <c r="M9" s="147" t="str">
        <f>[1]!KNCA11.nome</f>
        <v>Kinea Credito Agro FIAGRO</v>
      </c>
    </row>
    <row r="10" spans="1:13" ht="13.3" customHeight="1" x14ac:dyDescent="0.3">
      <c r="A10" s="125">
        <v>7</v>
      </c>
      <c r="B10" s="169"/>
      <c r="C10" s="118"/>
      <c r="D10" s="119"/>
      <c r="E10" s="120"/>
      <c r="F10" s="121"/>
      <c r="G10" s="122"/>
      <c r="H10" s="111"/>
      <c r="I10" s="130"/>
      <c r="J10" s="126"/>
      <c r="K10" s="123"/>
      <c r="L10" s="127"/>
      <c r="M10" s="146"/>
    </row>
    <row r="11" spans="1:13" ht="13.3" customHeight="1" x14ac:dyDescent="0.3">
      <c r="A11" s="125">
        <v>8</v>
      </c>
      <c r="B11" s="169"/>
      <c r="C11" s="128"/>
      <c r="D11" s="128"/>
      <c r="E11" s="128"/>
      <c r="F11" s="128"/>
      <c r="G11" s="117"/>
      <c r="H11" s="129"/>
      <c r="I11" s="131"/>
      <c r="J11" s="128"/>
      <c r="K11" s="128"/>
      <c r="L11" s="128"/>
      <c r="M11" s="146"/>
    </row>
    <row r="12" spans="1:13" ht="13.3" customHeight="1" x14ac:dyDescent="0.3">
      <c r="A12" s="125">
        <v>9</v>
      </c>
      <c r="B12" s="169"/>
      <c r="C12" s="128"/>
      <c r="D12" s="128"/>
      <c r="E12" s="128"/>
      <c r="F12" s="128"/>
      <c r="G12" s="117"/>
      <c r="H12" s="129"/>
      <c r="I12" s="131"/>
      <c r="J12" s="128"/>
      <c r="K12" s="128"/>
      <c r="L12" s="128"/>
      <c r="M12" s="146"/>
    </row>
    <row r="13" spans="1:13" ht="13.3" customHeight="1" x14ac:dyDescent="0.3">
      <c r="A13" s="125">
        <v>10</v>
      </c>
      <c r="B13" s="169"/>
      <c r="C13" s="128"/>
      <c r="D13" s="128"/>
      <c r="E13" s="128"/>
      <c r="F13" s="128"/>
      <c r="G13" s="117"/>
      <c r="H13" s="129"/>
      <c r="I13" s="131"/>
      <c r="J13" s="128"/>
      <c r="K13" s="128"/>
      <c r="L13" s="128"/>
      <c r="M13" s="146"/>
    </row>
    <row r="14" spans="1:13" ht="13.3" customHeight="1" x14ac:dyDescent="0.3">
      <c r="A14" s="125">
        <v>11</v>
      </c>
      <c r="B14" s="169"/>
      <c r="C14" s="128"/>
      <c r="D14" s="128"/>
      <c r="E14" s="128"/>
      <c r="F14" s="128"/>
      <c r="G14" s="117"/>
      <c r="H14" s="129"/>
      <c r="I14" s="131"/>
      <c r="J14" s="128"/>
      <c r="K14" s="128"/>
      <c r="L14" s="128"/>
      <c r="M14" s="146"/>
    </row>
    <row r="15" spans="1:13" ht="13.3" customHeight="1" x14ac:dyDescent="0.3">
      <c r="A15" s="125">
        <v>12</v>
      </c>
      <c r="B15" s="169"/>
      <c r="C15" s="128"/>
      <c r="D15" s="128"/>
      <c r="E15" s="128"/>
      <c r="F15" s="128"/>
      <c r="G15" s="117"/>
      <c r="H15" s="129"/>
      <c r="I15" s="131"/>
      <c r="J15" s="128"/>
      <c r="K15" s="128"/>
      <c r="L15" s="128"/>
      <c r="M15" s="146"/>
    </row>
    <row r="16" spans="1:13" ht="13.3" customHeight="1" x14ac:dyDescent="0.3">
      <c r="A16" s="125">
        <v>13</v>
      </c>
      <c r="B16" s="169"/>
      <c r="C16" s="128"/>
      <c r="D16" s="128"/>
      <c r="E16" s="128"/>
      <c r="F16" s="128"/>
      <c r="G16" s="117"/>
      <c r="H16" s="129"/>
      <c r="I16" s="131"/>
      <c r="J16" s="128"/>
      <c r="K16" s="128"/>
      <c r="L16" s="128"/>
      <c r="M16" s="146"/>
    </row>
    <row r="17" spans="1:15" ht="13.3" customHeight="1" x14ac:dyDescent="0.3">
      <c r="A17" s="125">
        <v>14</v>
      </c>
      <c r="B17" s="169"/>
      <c r="C17" s="128"/>
      <c r="D17" s="128"/>
      <c r="E17" s="128"/>
      <c r="F17" s="128"/>
      <c r="G17" s="117"/>
      <c r="H17" s="129"/>
      <c r="I17" s="131"/>
      <c r="J17" s="128"/>
      <c r="K17" s="128"/>
      <c r="L17" s="128"/>
      <c r="M17" s="146"/>
    </row>
    <row r="18" spans="1:15" ht="13.3" customHeight="1" x14ac:dyDescent="0.3">
      <c r="A18" s="125">
        <v>15</v>
      </c>
      <c r="B18" s="169"/>
      <c r="C18" s="128"/>
      <c r="D18" s="128"/>
      <c r="E18" s="128"/>
      <c r="F18" s="128"/>
      <c r="G18" s="117"/>
      <c r="H18" s="129"/>
      <c r="I18" s="131"/>
      <c r="J18" s="128"/>
      <c r="K18" s="128"/>
      <c r="L18" s="128"/>
      <c r="M18" s="146"/>
    </row>
    <row r="19" spans="1:15" ht="13.3" customHeight="1" x14ac:dyDescent="0.3">
      <c r="A19" s="125">
        <v>16</v>
      </c>
      <c r="B19" s="169"/>
      <c r="C19" s="128"/>
      <c r="D19" s="128"/>
      <c r="E19" s="128"/>
      <c r="F19" s="128"/>
      <c r="G19" s="117"/>
      <c r="H19" s="129"/>
      <c r="I19" s="131"/>
      <c r="J19" s="128"/>
      <c r="K19" s="128"/>
      <c r="L19" s="128"/>
      <c r="M19" s="146"/>
    </row>
    <row r="20" spans="1:15" ht="13.3" customHeight="1" x14ac:dyDescent="0.3">
      <c r="A20" s="125">
        <v>17</v>
      </c>
      <c r="B20" s="169"/>
      <c r="C20" s="128"/>
      <c r="D20" s="128"/>
      <c r="E20" s="128"/>
      <c r="F20" s="128"/>
      <c r="G20" s="117"/>
      <c r="H20" s="129"/>
      <c r="I20" s="131"/>
      <c r="J20" s="128"/>
      <c r="K20" s="128"/>
      <c r="L20" s="128"/>
      <c r="M20" s="146"/>
    </row>
    <row r="21" spans="1:15" ht="13.3" customHeight="1" x14ac:dyDescent="0.3">
      <c r="A21" s="125">
        <v>18</v>
      </c>
      <c r="B21" s="169"/>
      <c r="C21" s="128"/>
      <c r="D21" s="128"/>
      <c r="E21" s="128"/>
      <c r="F21" s="128"/>
      <c r="G21" s="117"/>
      <c r="H21" s="129"/>
      <c r="I21" s="131"/>
      <c r="J21" s="128"/>
      <c r="K21" s="128"/>
      <c r="L21" s="128"/>
      <c r="M21" s="146"/>
    </row>
    <row r="22" spans="1:15" ht="13.3" customHeight="1" x14ac:dyDescent="0.3">
      <c r="A22" s="125">
        <v>19</v>
      </c>
      <c r="B22" s="169"/>
      <c r="C22" s="128"/>
      <c r="D22" s="128"/>
      <c r="E22" s="128"/>
      <c r="F22" s="128"/>
      <c r="G22" s="117"/>
      <c r="H22" s="129"/>
      <c r="I22" s="131"/>
      <c r="J22" s="128"/>
      <c r="K22" s="128"/>
      <c r="L22" s="128"/>
      <c r="M22" s="146"/>
    </row>
    <row r="23" spans="1:15" ht="13.3" customHeight="1" x14ac:dyDescent="0.3">
      <c r="A23" s="125">
        <v>20</v>
      </c>
      <c r="B23" s="169"/>
      <c r="C23" s="128"/>
      <c r="D23" s="128"/>
      <c r="E23" s="128"/>
      <c r="F23" s="128"/>
      <c r="G23" s="117"/>
      <c r="H23" s="129"/>
      <c r="I23" s="131"/>
      <c r="J23" s="128"/>
      <c r="K23" s="128"/>
      <c r="L23" s="128"/>
      <c r="M23" s="146"/>
    </row>
    <row r="24" spans="1:15" ht="10.8" customHeight="1" x14ac:dyDescent="0.3">
      <c r="A24" s="3"/>
      <c r="B24" s="3"/>
      <c r="C24" s="100">
        <f>SUM(C4:C23)</f>
        <v>1676</v>
      </c>
      <c r="D24" s="99">
        <f>SUM(D4:D23)</f>
        <v>73090.872968772164</v>
      </c>
      <c r="E24" s="20"/>
      <c r="F24" s="39">
        <f>SUM(F4:F23)</f>
        <v>14</v>
      </c>
      <c r="G24" s="3"/>
      <c r="H24" s="35" t="s">
        <v>35</v>
      </c>
      <c r="I24" s="157">
        <f>SUM(I4:I23)</f>
        <v>81633.040000000008</v>
      </c>
      <c r="J24" s="5">
        <f>SUM(J4:J23)</f>
        <v>0.99999999999999978</v>
      </c>
      <c r="K24" s="105">
        <f>SUM(K4:K23)</f>
        <v>8542.167031227822</v>
      </c>
      <c r="L24" s="106">
        <f>K24/D24</f>
        <v>0.11687050221547408</v>
      </c>
      <c r="M24" s="21"/>
      <c r="N24" s="22"/>
      <c r="O24" s="23"/>
    </row>
    <row r="25" spans="1:15" ht="10.8" customHeight="1" x14ac:dyDescent="0.3">
      <c r="H25" s="34" t="s">
        <v>26</v>
      </c>
      <c r="I25" s="158">
        <v>2000</v>
      </c>
      <c r="M25" s="6"/>
      <c r="N25" s="6"/>
      <c r="O25" s="6"/>
    </row>
    <row r="26" spans="1:15" ht="10.8" customHeight="1" x14ac:dyDescent="0.3">
      <c r="H26" s="7" t="s">
        <v>44</v>
      </c>
      <c r="I26" s="159">
        <f>I24+I25</f>
        <v>83633.040000000008</v>
      </c>
    </row>
    <row r="27" spans="1:15" ht="10.8" customHeight="1" x14ac:dyDescent="0.3">
      <c r="C27" s="148" t="s">
        <v>14</v>
      </c>
      <c r="D27" s="149"/>
      <c r="E27" s="150"/>
      <c r="I27" s="30"/>
    </row>
    <row r="28" spans="1:15" ht="10.8" customHeight="1" x14ac:dyDescent="0.3">
      <c r="C28" s="151" t="s">
        <v>10</v>
      </c>
      <c r="D28" s="155">
        <f>SUMIFS($I$4:$I$23,$G$4:$G$23,C28)</f>
        <v>40299.800000000003</v>
      </c>
      <c r="E28" s="152">
        <f>D28/$D$32</f>
        <v>0.49367021000320455</v>
      </c>
      <c r="H28" t="s">
        <v>67</v>
      </c>
      <c r="I28" s="30" t="str">
        <f>[1]!atwood</f>
        <v>81.633 K</v>
      </c>
    </row>
    <row r="29" spans="1:15" ht="10.8" customHeight="1" x14ac:dyDescent="0.3">
      <c r="C29" s="151" t="s">
        <v>12</v>
      </c>
      <c r="D29" s="155">
        <f>SUMIFS($I$4:$I$23,$G$4:$G$23,C29)</f>
        <v>10821</v>
      </c>
      <c r="E29" s="152">
        <f>D29/$D$32</f>
        <v>0.13255662168161322</v>
      </c>
    </row>
    <row r="30" spans="1:15" ht="10.8" customHeight="1" x14ac:dyDescent="0.3">
      <c r="C30" s="151" t="s">
        <v>11</v>
      </c>
      <c r="D30" s="155">
        <f>SUMIFS($I$4:$I$23,$G$4:$G$23,C30)</f>
        <v>10580</v>
      </c>
      <c r="E30" s="152">
        <f>D30/$D$32</f>
        <v>0.12960438567521188</v>
      </c>
      <c r="G30" s="112" t="s">
        <v>68</v>
      </c>
      <c r="H30" s="113">
        <f>COUNTIF(Tabela1[cotação],"&gt;0")</f>
        <v>6</v>
      </c>
    </row>
    <row r="31" spans="1:15" ht="10.8" customHeight="1" x14ac:dyDescent="0.3">
      <c r="C31" s="153" t="s">
        <v>13</v>
      </c>
      <c r="D31" s="156">
        <f>SUMIFS($I$4:$I$23,$G$4:$G$23,C31)</f>
        <v>19932.240000000002</v>
      </c>
      <c r="E31" s="154">
        <f>D31/$D$32</f>
        <v>0.24416878263997027</v>
      </c>
      <c r="G31" s="114"/>
      <c r="H31" s="115" t="str">
        <f>IF(H30=6,"aberto","falta cot")</f>
        <v>aberto</v>
      </c>
    </row>
    <row r="32" spans="1:15" ht="10.8" customHeight="1" x14ac:dyDescent="0.3">
      <c r="D32" s="22">
        <f>SUM(D28:D31)</f>
        <v>81633.040000000008</v>
      </c>
      <c r="E32" s="29">
        <f>D32/$D$32</f>
        <v>1</v>
      </c>
      <c r="F32" s="6"/>
    </row>
    <row r="33" spans="5:6" x14ac:dyDescent="0.25">
      <c r="E33" s="6"/>
      <c r="F33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S23"/>
  <sheetViews>
    <sheetView workbookViewId="0">
      <selection activeCell="O10" sqref="O10"/>
    </sheetView>
  </sheetViews>
  <sheetFormatPr defaultRowHeight="15.05" x14ac:dyDescent="0.3"/>
  <cols>
    <col min="1" max="1" width="8.88671875" customWidth="1"/>
    <col min="2" max="2" width="7.33203125" customWidth="1"/>
    <col min="3" max="3" width="6.109375" customWidth="1"/>
    <col min="4" max="4" width="11.77734375" customWidth="1"/>
    <col min="5" max="5" width="8" customWidth="1"/>
    <col min="6" max="6" width="8.44140625" customWidth="1"/>
    <col min="7" max="7" width="7.44140625" customWidth="1"/>
    <col min="8" max="8" width="1.33203125" customWidth="1"/>
    <col min="9" max="9" width="0.6640625" customWidth="1"/>
    <col min="10" max="10" width="1.21875" customWidth="1"/>
    <col min="13" max="13" width="10.109375" customWidth="1"/>
    <col min="14" max="14" width="8.21875" customWidth="1"/>
    <col min="15" max="15" width="9.109375" customWidth="1"/>
    <col min="16" max="16" width="7.77734375" customWidth="1"/>
    <col min="19" max="19" width="8.21875" customWidth="1"/>
  </cols>
  <sheetData>
    <row r="1" spans="1:19" ht="18.8" customHeight="1" x14ac:dyDescent="0.3">
      <c r="A1" s="166" t="s">
        <v>86</v>
      </c>
      <c r="K1" s="166" t="s">
        <v>85</v>
      </c>
    </row>
    <row r="2" spans="1:19" x14ac:dyDescent="0.3">
      <c r="A2" s="165" t="s">
        <v>2</v>
      </c>
      <c r="B2" s="165" t="s">
        <v>5</v>
      </c>
      <c r="C2" s="165" t="s">
        <v>0</v>
      </c>
      <c r="D2" s="165" t="s">
        <v>78</v>
      </c>
      <c r="E2" s="165" t="s">
        <v>23</v>
      </c>
      <c r="F2" s="165" t="s">
        <v>51</v>
      </c>
      <c r="G2" s="165" t="s">
        <v>75</v>
      </c>
      <c r="I2" s="84" t="s">
        <v>73</v>
      </c>
      <c r="K2" s="161" t="s">
        <v>66</v>
      </c>
      <c r="L2" s="161" t="s">
        <v>6</v>
      </c>
      <c r="M2" s="161" t="s">
        <v>79</v>
      </c>
      <c r="N2" s="161" t="s">
        <v>80</v>
      </c>
      <c r="O2" s="161" t="s">
        <v>81</v>
      </c>
      <c r="P2" s="161" t="s">
        <v>82</v>
      </c>
      <c r="Q2" s="161" t="s">
        <v>83</v>
      </c>
      <c r="R2" s="161" t="s">
        <v>84</v>
      </c>
      <c r="S2" s="161" t="s">
        <v>75</v>
      </c>
    </row>
    <row r="3" spans="1:19" x14ac:dyDescent="0.3">
      <c r="A3" s="82">
        <v>44784</v>
      </c>
      <c r="B3" s="141" t="s">
        <v>63</v>
      </c>
      <c r="C3" s="81">
        <v>100</v>
      </c>
      <c r="D3" s="85">
        <v>121</v>
      </c>
      <c r="E3" s="140" t="s">
        <v>72</v>
      </c>
      <c r="F3" s="83">
        <f>D3/C3</f>
        <v>1.21</v>
      </c>
      <c r="G3" s="142">
        <f>F3/[1]!KNCA11</f>
        <v>1.1181961001755846E-2</v>
      </c>
      <c r="I3" t="str">
        <f>"l;"&amp;TEXT(A3,"dd/mm/aaaa hh:mm")&amp;";C;"&amp;D3&amp;";"&amp;E3&amp;":"&amp;B3</f>
        <v>l;11/08/2022 00:00;C;121;REND FI:KNCA11</v>
      </c>
      <c r="J3" t="s">
        <v>74</v>
      </c>
      <c r="K3" s="162">
        <v>1</v>
      </c>
      <c r="L3" s="8" t="s">
        <v>59</v>
      </c>
      <c r="M3" s="163">
        <f>SUMIFS($D$3:$D$22,$B$3:$B$22,L3)</f>
        <v>137.77000000000001</v>
      </c>
      <c r="N3" s="30">
        <f>COUNTIFS($B$3:$B$22,L3)</f>
        <v>2</v>
      </c>
      <c r="O3" s="160">
        <f>M3/N3</f>
        <v>68.885000000000005</v>
      </c>
      <c r="P3" s="30">
        <v>500</v>
      </c>
      <c r="Q3" s="164">
        <f>[1]!ITUB4</f>
        <v>27.94</v>
      </c>
      <c r="R3" s="160">
        <f>P3*Q3</f>
        <v>13970</v>
      </c>
      <c r="S3" s="142">
        <f>M3/R3</f>
        <v>9.8618468146027208E-3</v>
      </c>
    </row>
    <row r="4" spans="1:19" x14ac:dyDescent="0.3">
      <c r="A4" s="82">
        <v>44803</v>
      </c>
      <c r="B4" s="141" t="s">
        <v>59</v>
      </c>
      <c r="C4" s="81">
        <v>500</v>
      </c>
      <c r="D4" s="85">
        <v>130.27000000000001</v>
      </c>
      <c r="E4" s="140" t="s">
        <v>71</v>
      </c>
      <c r="F4" s="83">
        <f>D4/C4</f>
        <v>0.26053999999999999</v>
      </c>
      <c r="G4" s="142">
        <f>F4/[1]!ITUB4</f>
        <v>9.3249821045096621E-3</v>
      </c>
      <c r="I4" t="str">
        <f>"l;"&amp;TEXT(A4,"dd/mm/aaaa hh:mm")&amp;";C;"&amp;D4&amp;";"&amp;E4&amp;":"&amp;B4</f>
        <v>l;30/08/2022 00:00;C;130.27;JCP:ITUB4</v>
      </c>
      <c r="J4" t="s">
        <v>74</v>
      </c>
      <c r="K4" s="162">
        <v>2</v>
      </c>
      <c r="L4" s="8" t="s">
        <v>50</v>
      </c>
      <c r="M4" s="163">
        <f>SUMIFS($D$3:$D$22,$B$3:$B$22,L4)</f>
        <v>801.88</v>
      </c>
      <c r="N4" s="30">
        <f>COUNTIFS($B$3:$B$22,L4)</f>
        <v>2</v>
      </c>
      <c r="O4" s="160">
        <f>M4/N4</f>
        <v>400.94</v>
      </c>
      <c r="P4" s="30">
        <v>240</v>
      </c>
      <c r="Q4" s="164">
        <f>[1]!vale3</f>
        <v>68.27</v>
      </c>
      <c r="R4" s="160">
        <f>P4*Q4</f>
        <v>16384.8</v>
      </c>
      <c r="S4" s="142">
        <f>M4/R4</f>
        <v>4.8940481421805578E-2</v>
      </c>
    </row>
    <row r="5" spans="1:19" x14ac:dyDescent="0.3">
      <c r="A5" s="82">
        <v>44805</v>
      </c>
      <c r="B5" s="141" t="s">
        <v>50</v>
      </c>
      <c r="C5" s="81">
        <v>240</v>
      </c>
      <c r="D5" s="85">
        <v>487.84</v>
      </c>
      <c r="E5" s="140" t="s">
        <v>70</v>
      </c>
      <c r="F5" s="83">
        <f>D5/C5</f>
        <v>2.0326666666666666</v>
      </c>
      <c r="G5" s="142">
        <f>F5/[1]!vale3</f>
        <v>2.9773936819491236E-2</v>
      </c>
      <c r="I5" t="str">
        <f>"l;"&amp;TEXT(A5,"dd/mm/aaaa hh:mm")&amp;";C;"&amp;D5&amp;";"&amp;E5&amp;":"&amp;B5</f>
        <v>l;01/09/2022 00:00;C;487.84;DIV:VALE3</v>
      </c>
      <c r="J5" t="s">
        <v>74</v>
      </c>
      <c r="K5" s="162">
        <v>3</v>
      </c>
      <c r="L5" s="8" t="s">
        <v>60</v>
      </c>
      <c r="M5" s="163">
        <f>SUMIFS($D$3:$D$22,$B$3:$B$22,L5)</f>
        <v>0</v>
      </c>
      <c r="N5" s="30">
        <f>COUNTIFS($B$3:$B$22,L5)</f>
        <v>0</v>
      </c>
      <c r="O5" s="160"/>
      <c r="P5" s="30">
        <v>100</v>
      </c>
      <c r="Q5" s="164">
        <f>[1]!xpbr31</f>
        <v>99.45</v>
      </c>
      <c r="R5" s="160">
        <f>P5*Q5</f>
        <v>9945</v>
      </c>
      <c r="S5" s="142">
        <f>M5/R5</f>
        <v>0</v>
      </c>
    </row>
    <row r="6" spans="1:19" x14ac:dyDescent="0.3">
      <c r="A6" s="82">
        <v>44805</v>
      </c>
      <c r="B6" s="141" t="s">
        <v>59</v>
      </c>
      <c r="C6" s="81">
        <v>500</v>
      </c>
      <c r="D6" s="85">
        <v>7.5</v>
      </c>
      <c r="E6" s="140" t="s">
        <v>71</v>
      </c>
      <c r="F6" s="83">
        <f>D6/C6</f>
        <v>1.4999999999999999E-2</v>
      </c>
      <c r="G6" s="142">
        <f>F6/[1]!ITUB4</f>
        <v>5.3686471009305647E-4</v>
      </c>
      <c r="I6" t="str">
        <f>"l;"&amp;TEXT(A6,"dd/mm/aaaa hh:mm")&amp;";C;"&amp;D6&amp;";"&amp;E6&amp;":"&amp;B6</f>
        <v>l;01/09/2022 00:00;C;7.5;JCP:ITUB4</v>
      </c>
      <c r="J6" t="s">
        <v>74</v>
      </c>
      <c r="K6" s="162">
        <v>4</v>
      </c>
      <c r="L6" s="8" t="s">
        <v>61</v>
      </c>
      <c r="M6" s="163">
        <f>SUMIFS($D$3:$D$22,$B$3:$B$22,L6)</f>
        <v>32.950000000000003</v>
      </c>
      <c r="N6" s="30">
        <f>COUNTIFS($B$3:$B$22,L6)</f>
        <v>1</v>
      </c>
      <c r="O6" s="160">
        <f>M6/N6</f>
        <v>32.950000000000003</v>
      </c>
      <c r="P6" s="30">
        <v>636</v>
      </c>
      <c r="Q6" s="164">
        <f>[1]!AMZO34</f>
        <v>31.34</v>
      </c>
      <c r="R6" s="160">
        <f>P6*Q6</f>
        <v>19932.240000000002</v>
      </c>
      <c r="S6" s="142">
        <f>M6/R6</f>
        <v>1.6531007051891809E-3</v>
      </c>
    </row>
    <row r="7" spans="1:19" x14ac:dyDescent="0.3">
      <c r="A7" s="82">
        <v>44805</v>
      </c>
      <c r="B7" s="141" t="s">
        <v>50</v>
      </c>
      <c r="C7" s="81">
        <v>240</v>
      </c>
      <c r="D7" s="85">
        <v>314.04000000000002</v>
      </c>
      <c r="E7" s="140" t="s">
        <v>71</v>
      </c>
      <c r="F7" s="83">
        <f>D7/C7</f>
        <v>1.3085</v>
      </c>
      <c r="G7" s="142">
        <f>F7/[1]!vale3</f>
        <v>1.9166544602314341E-2</v>
      </c>
      <c r="I7" t="str">
        <f>"l;"&amp;TEXT(A7,"dd/mm/aaaa hh:mm")&amp;";C;"&amp;D7&amp;";"&amp;E7&amp;":"&amp;B7</f>
        <v>l;01/09/2022 00:00;C;314.04;JCP:VALE3</v>
      </c>
      <c r="J7" t="s">
        <v>74</v>
      </c>
      <c r="K7" s="162">
        <v>5</v>
      </c>
      <c r="L7" s="8" t="s">
        <v>62</v>
      </c>
      <c r="M7" s="163">
        <f>SUMIFS($D$3:$D$22,$B$3:$B$22,L7)</f>
        <v>0</v>
      </c>
      <c r="N7" s="30">
        <f>COUNTIFS($B$3:$B$22,L7)</f>
        <v>0</v>
      </c>
      <c r="O7" s="160"/>
      <c r="P7" s="30">
        <v>100</v>
      </c>
      <c r="Q7" s="164">
        <f>[1]!BOVA11</f>
        <v>105.8</v>
      </c>
      <c r="R7" s="160">
        <f>P7*Q7</f>
        <v>10580</v>
      </c>
      <c r="S7" s="142">
        <f>M7/R7</f>
        <v>0</v>
      </c>
    </row>
    <row r="8" spans="1:19" x14ac:dyDescent="0.3">
      <c r="A8" s="82">
        <v>44810</v>
      </c>
      <c r="B8" s="141" t="s">
        <v>61</v>
      </c>
      <c r="C8" s="81">
        <v>638</v>
      </c>
      <c r="D8" s="85">
        <v>32.950000000000003</v>
      </c>
      <c r="E8" s="140" t="s">
        <v>70</v>
      </c>
      <c r="F8" s="83">
        <f>D8/C8</f>
        <v>5.1645768025078372E-2</v>
      </c>
      <c r="G8" s="142">
        <f>F8/[1]!AMZO34</f>
        <v>1.6479185713171147E-3</v>
      </c>
      <c r="K8" s="162">
        <v>6</v>
      </c>
      <c r="L8" s="8" t="s">
        <v>63</v>
      </c>
      <c r="M8" s="163">
        <f>SUMIFS($D$3:$D$22,$B$3:$B$22,L8)</f>
        <v>267</v>
      </c>
      <c r="N8" s="30">
        <f>COUNTIFS($B$3:$B$22,L8)</f>
        <v>2</v>
      </c>
      <c r="O8" s="160">
        <f>M8/N8</f>
        <v>133.5</v>
      </c>
      <c r="P8" s="30">
        <v>100</v>
      </c>
      <c r="Q8" s="164">
        <f>[1]!KNCA11</f>
        <v>108.21</v>
      </c>
      <c r="R8" s="160">
        <f>P8*Q8</f>
        <v>10821</v>
      </c>
      <c r="S8" s="142">
        <f>M8/R8</f>
        <v>2.4674244524535625E-2</v>
      </c>
    </row>
    <row r="9" spans="1:19" x14ac:dyDescent="0.3">
      <c r="A9" s="82">
        <v>44818</v>
      </c>
      <c r="B9" s="141" t="s">
        <v>63</v>
      </c>
      <c r="C9" s="81">
        <v>100</v>
      </c>
      <c r="D9" s="85">
        <v>146</v>
      </c>
      <c r="E9" s="140" t="s">
        <v>72</v>
      </c>
      <c r="F9" s="83">
        <f>D9/C9</f>
        <v>1.46</v>
      </c>
      <c r="G9" s="142">
        <f>F9/[1]!KNCA11</f>
        <v>1.349228352277978E-2</v>
      </c>
      <c r="K9" s="162">
        <v>7</v>
      </c>
      <c r="L9" s="131"/>
      <c r="M9" s="131"/>
      <c r="N9" s="30"/>
      <c r="O9" s="30"/>
      <c r="P9" s="30"/>
      <c r="Q9" s="164"/>
      <c r="R9" s="30"/>
      <c r="S9" s="30"/>
    </row>
    <row r="10" spans="1:19" x14ac:dyDescent="0.3">
      <c r="A10" s="82"/>
      <c r="B10" s="141"/>
      <c r="C10" s="81"/>
      <c r="D10" s="85"/>
      <c r="E10" s="79"/>
      <c r="G10" s="142"/>
      <c r="K10" s="162">
        <v>8</v>
      </c>
      <c r="L10" s="131"/>
      <c r="M10" s="131"/>
      <c r="N10" s="30"/>
      <c r="O10" s="30"/>
      <c r="P10" s="30"/>
      <c r="Q10" s="164"/>
      <c r="R10" s="30"/>
      <c r="S10" s="30"/>
    </row>
    <row r="11" spans="1:19" x14ac:dyDescent="0.3">
      <c r="A11" s="82"/>
      <c r="B11" s="141"/>
      <c r="C11" s="81"/>
      <c r="D11" s="85"/>
      <c r="E11" s="79"/>
      <c r="G11" s="142"/>
      <c r="K11" s="162">
        <v>9</v>
      </c>
      <c r="L11" s="131"/>
      <c r="M11" s="131"/>
      <c r="N11" s="30"/>
      <c r="O11" s="30"/>
      <c r="P11" s="30"/>
      <c r="Q11" s="164"/>
      <c r="R11" s="30"/>
      <c r="S11" s="30"/>
    </row>
    <row r="12" spans="1:19" x14ac:dyDescent="0.3">
      <c r="A12" s="82"/>
      <c r="B12" s="141"/>
      <c r="C12" s="81"/>
      <c r="D12" s="85"/>
      <c r="E12" s="79"/>
      <c r="G12" s="142"/>
      <c r="K12" s="162">
        <v>10</v>
      </c>
      <c r="L12" s="131"/>
      <c r="M12" s="131"/>
      <c r="N12" s="30"/>
      <c r="O12" s="30"/>
      <c r="P12" s="30"/>
      <c r="Q12" s="164"/>
      <c r="R12" s="30"/>
      <c r="S12" s="30"/>
    </row>
    <row r="13" spans="1:19" x14ac:dyDescent="0.3">
      <c r="A13" s="82"/>
      <c r="B13" s="141"/>
      <c r="C13" s="81"/>
      <c r="D13" s="85"/>
      <c r="E13" s="79"/>
      <c r="G13" s="142"/>
      <c r="K13" s="162"/>
      <c r="L13" s="131"/>
      <c r="M13" s="163">
        <f>SUM(Tabela2[rendimento])</f>
        <v>1239.5999999999999</v>
      </c>
      <c r="N13" s="30"/>
      <c r="O13" s="30"/>
      <c r="P13" s="30"/>
      <c r="Q13" s="164"/>
      <c r="R13" s="30"/>
      <c r="S13" s="30"/>
    </row>
    <row r="14" spans="1:19" x14ac:dyDescent="0.3">
      <c r="A14" s="82"/>
      <c r="B14" s="141"/>
      <c r="C14" s="81"/>
      <c r="D14" s="85"/>
      <c r="E14" s="79"/>
      <c r="G14" s="142"/>
    </row>
    <row r="15" spans="1:19" x14ac:dyDescent="0.3">
      <c r="A15" s="82"/>
      <c r="B15" s="141"/>
      <c r="C15" s="81"/>
      <c r="D15" s="85"/>
      <c r="E15" s="79"/>
      <c r="G15" s="142"/>
    </row>
    <row r="16" spans="1:19" x14ac:dyDescent="0.3">
      <c r="A16" s="82"/>
      <c r="B16" s="141"/>
      <c r="C16" s="81"/>
      <c r="D16" s="85"/>
      <c r="E16" s="79"/>
      <c r="G16" s="142"/>
    </row>
    <row r="17" spans="1:7" x14ac:dyDescent="0.3">
      <c r="A17" s="82"/>
      <c r="B17" s="141"/>
      <c r="C17" s="81"/>
      <c r="D17" s="85"/>
      <c r="E17" s="79"/>
      <c r="G17" s="142"/>
    </row>
    <row r="18" spans="1:7" x14ac:dyDescent="0.3">
      <c r="A18" s="82"/>
      <c r="B18" s="141"/>
      <c r="C18" s="81"/>
      <c r="D18" s="85"/>
      <c r="E18" s="79"/>
      <c r="G18" s="142"/>
    </row>
    <row r="19" spans="1:7" x14ac:dyDescent="0.3">
      <c r="A19" s="82"/>
      <c r="B19" s="141"/>
      <c r="C19" s="81"/>
      <c r="D19" s="85"/>
      <c r="E19" s="79"/>
      <c r="G19" s="142"/>
    </row>
    <row r="20" spans="1:7" x14ac:dyDescent="0.3">
      <c r="B20" s="141"/>
      <c r="D20" s="85"/>
      <c r="G20" s="142"/>
    </row>
    <row r="21" spans="1:7" x14ac:dyDescent="0.3">
      <c r="B21" s="141"/>
      <c r="D21" s="85"/>
      <c r="G21" s="142"/>
    </row>
    <row r="22" spans="1:7" x14ac:dyDescent="0.3">
      <c r="B22" s="141"/>
      <c r="D22" s="85"/>
      <c r="G22" s="142"/>
    </row>
    <row r="23" spans="1:7" x14ac:dyDescent="0.3">
      <c r="B23" s="141"/>
      <c r="D23" s="3">
        <f>SUM(D3:D22)</f>
        <v>1239.6000000000001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J26"/>
  <sheetViews>
    <sheetView workbookViewId="0">
      <selection activeCell="C20" sqref="C20"/>
    </sheetView>
  </sheetViews>
  <sheetFormatPr defaultRowHeight="15.05" x14ac:dyDescent="0.3"/>
  <cols>
    <col min="1" max="1" width="13.6640625" customWidth="1"/>
    <col min="2" max="2" width="12.88671875" customWidth="1"/>
    <col min="3" max="3" width="12" customWidth="1"/>
    <col min="4" max="4" width="9.109375" customWidth="1"/>
    <col min="9" max="9" width="11.6640625" customWidth="1"/>
  </cols>
  <sheetData>
    <row r="1" spans="1:10" x14ac:dyDescent="0.3">
      <c r="A1" s="101" t="s">
        <v>52</v>
      </c>
      <c r="H1" s="90" t="s">
        <v>5</v>
      </c>
      <c r="I1" s="91" t="s">
        <v>15</v>
      </c>
    </row>
    <row r="2" spans="1:10" x14ac:dyDescent="0.25">
      <c r="A2" s="92" t="s">
        <v>2</v>
      </c>
      <c r="B2" s="92" t="s">
        <v>53</v>
      </c>
      <c r="C2" s="92" t="s">
        <v>55</v>
      </c>
      <c r="D2" s="92" t="s">
        <v>57</v>
      </c>
      <c r="H2" s="86" t="s">
        <v>56</v>
      </c>
      <c r="I2" s="93">
        <f ca="1">TODAY()</f>
        <v>44831</v>
      </c>
    </row>
    <row r="3" spans="1:10" x14ac:dyDescent="0.25">
      <c r="A3" s="98">
        <v>44714</v>
      </c>
      <c r="B3" s="80">
        <v>87977.760000000009</v>
      </c>
      <c r="C3" s="1">
        <v>112377</v>
      </c>
      <c r="D3" s="94">
        <f>IF(B3&gt;0,B3/88000*112377/C3-1,0)</f>
        <v>-2.5272727272707129E-4</v>
      </c>
      <c r="H3" s="86" t="s">
        <v>53</v>
      </c>
      <c r="I3" s="87">
        <f>Carteira!I26</f>
        <v>83633.040000000008</v>
      </c>
    </row>
    <row r="4" spans="1:10" x14ac:dyDescent="0.25">
      <c r="A4" s="98">
        <v>44715</v>
      </c>
      <c r="B4" s="80">
        <v>87000.2</v>
      </c>
      <c r="C4" s="1">
        <v>111232</v>
      </c>
      <c r="D4" s="94">
        <f t="shared" ref="D4:D10" si="0">IF(B4&gt;0,B4/88000*112377/C4-1,0)</f>
        <v>-1.1845149000615507E-3</v>
      </c>
      <c r="H4" s="88" t="s">
        <v>54</v>
      </c>
      <c r="I4" s="89">
        <f>[1]!ibov</f>
        <v>109629</v>
      </c>
    </row>
    <row r="5" spans="1:10" x14ac:dyDescent="0.25">
      <c r="A5" s="98">
        <v>44719</v>
      </c>
      <c r="B5" s="80">
        <v>87129.4</v>
      </c>
      <c r="C5" s="1">
        <v>110182</v>
      </c>
      <c r="D5" s="94">
        <f t="shared" si="0"/>
        <v>9.831314614167308E-3</v>
      </c>
    </row>
    <row r="6" spans="1:10" x14ac:dyDescent="0.25">
      <c r="A6" s="98">
        <v>44805</v>
      </c>
      <c r="B6" s="80">
        <v>82448.600000000006</v>
      </c>
      <c r="C6" s="1">
        <v>109832</v>
      </c>
      <c r="D6" s="94">
        <f t="shared" si="0"/>
        <v>-4.1374106672835809E-2</v>
      </c>
      <c r="G6" s="97" t="s">
        <v>58</v>
      </c>
      <c r="H6" s="95"/>
      <c r="I6" s="95"/>
      <c r="J6" s="96"/>
    </row>
    <row r="7" spans="1:10" x14ac:dyDescent="0.25">
      <c r="A7" s="98">
        <v>44816</v>
      </c>
      <c r="B7" s="80">
        <v>86719.12</v>
      </c>
      <c r="C7" s="1">
        <v>113480</v>
      </c>
      <c r="D7" s="94">
        <f t="shared" si="0"/>
        <v>-2.413375322043132E-2</v>
      </c>
    </row>
    <row r="8" spans="1:10" x14ac:dyDescent="0.25">
      <c r="A8" s="98">
        <v>44818</v>
      </c>
      <c r="B8" s="80">
        <v>84356.72</v>
      </c>
      <c r="C8" s="1">
        <v>111018</v>
      </c>
      <c r="D8" s="94">
        <f t="shared" si="0"/>
        <v>-2.966645013339364E-2</v>
      </c>
    </row>
    <row r="9" spans="1:10" x14ac:dyDescent="0.25">
      <c r="A9" s="98">
        <v>44820</v>
      </c>
      <c r="B9" s="80">
        <v>84370.8</v>
      </c>
      <c r="C9" s="1">
        <v>109944</v>
      </c>
      <c r="D9" s="94">
        <f t="shared" si="0"/>
        <v>-2.0024099913674931E-2</v>
      </c>
    </row>
    <row r="10" spans="1:10" x14ac:dyDescent="0.3">
      <c r="A10" s="98">
        <v>44831</v>
      </c>
      <c r="B10" s="80">
        <v>83709.16</v>
      </c>
      <c r="C10" s="1">
        <v>109682</v>
      </c>
      <c r="D10" s="94">
        <f t="shared" si="0"/>
        <v>-2.5386585214943636E-2</v>
      </c>
    </row>
    <row r="11" spans="1:10" x14ac:dyDescent="0.25">
      <c r="A11" s="98"/>
      <c r="B11" s="80"/>
      <c r="C11" s="1"/>
      <c r="D11" s="94"/>
    </row>
    <row r="12" spans="1:10" x14ac:dyDescent="0.25">
      <c r="A12" s="98"/>
      <c r="B12" s="80"/>
      <c r="C12" s="1"/>
      <c r="D12" s="94"/>
    </row>
    <row r="13" spans="1:10" x14ac:dyDescent="0.25">
      <c r="A13" s="98"/>
      <c r="B13" s="80"/>
      <c r="C13" s="1"/>
      <c r="D13" s="94"/>
    </row>
    <row r="14" spans="1:10" x14ac:dyDescent="0.25">
      <c r="A14" s="98"/>
      <c r="B14" s="80"/>
      <c r="C14" s="1"/>
      <c r="D14" s="94"/>
    </row>
    <row r="15" spans="1:10" x14ac:dyDescent="0.25">
      <c r="A15" s="98"/>
      <c r="B15" s="80"/>
      <c r="C15" s="1"/>
      <c r="D15" s="94"/>
    </row>
    <row r="16" spans="1:10" x14ac:dyDescent="0.3">
      <c r="A16" s="98"/>
      <c r="B16" s="80"/>
      <c r="C16" s="1"/>
      <c r="D16" s="94"/>
    </row>
    <row r="17" spans="1:4" x14ac:dyDescent="0.3">
      <c r="A17" s="98"/>
      <c r="B17" s="80"/>
      <c r="C17" s="1"/>
      <c r="D17" s="94"/>
    </row>
    <row r="18" spans="1:4" x14ac:dyDescent="0.3">
      <c r="A18" s="98"/>
      <c r="B18" s="80"/>
      <c r="C18" s="1"/>
      <c r="D18" s="94"/>
    </row>
    <row r="19" spans="1:4" x14ac:dyDescent="0.3">
      <c r="A19" s="98"/>
      <c r="B19" s="80"/>
      <c r="C19" s="1"/>
      <c r="D19" s="94"/>
    </row>
    <row r="20" spans="1:4" x14ac:dyDescent="0.3">
      <c r="A20" s="98"/>
      <c r="B20" s="80"/>
      <c r="C20" s="1"/>
      <c r="D20" s="94"/>
    </row>
    <row r="21" spans="1:4" x14ac:dyDescent="0.3">
      <c r="A21" s="98"/>
      <c r="B21" s="80"/>
      <c r="C21" s="1"/>
      <c r="D21" s="94"/>
    </row>
    <row r="22" spans="1:4" x14ac:dyDescent="0.3">
      <c r="A22" s="98"/>
      <c r="B22" s="80"/>
      <c r="C22" s="1"/>
      <c r="D22" s="94"/>
    </row>
    <row r="23" spans="1:4" x14ac:dyDescent="0.3">
      <c r="A23" s="98"/>
      <c r="B23" s="80"/>
      <c r="C23" s="1"/>
      <c r="D23" s="94"/>
    </row>
    <row r="24" spans="1:4" x14ac:dyDescent="0.25">
      <c r="A24" s="98"/>
      <c r="B24" s="80"/>
      <c r="C24" s="1"/>
    </row>
    <row r="25" spans="1:4" x14ac:dyDescent="0.3">
      <c r="A25" s="98"/>
      <c r="B25" s="80"/>
      <c r="C25" s="1"/>
    </row>
    <row r="26" spans="1:4" x14ac:dyDescent="0.3">
      <c r="A26" s="98"/>
      <c r="B26" s="80"/>
      <c r="C26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C38"/>
  <sheetViews>
    <sheetView workbookViewId="0">
      <selection activeCell="A15" sqref="A15"/>
    </sheetView>
  </sheetViews>
  <sheetFormatPr defaultRowHeight="15.05" x14ac:dyDescent="0.3"/>
  <cols>
    <col min="1" max="1" width="16.88671875" customWidth="1"/>
  </cols>
  <sheetData>
    <row r="2" spans="1:3" ht="5.95" customHeight="1" x14ac:dyDescent="0.25"/>
    <row r="3" spans="1:3" ht="5.95" customHeight="1" x14ac:dyDescent="0.25"/>
    <row r="4" spans="1:3" ht="5.95" customHeight="1" x14ac:dyDescent="0.25"/>
    <row r="5" spans="1:3" ht="5.95" customHeight="1" x14ac:dyDescent="0.25"/>
    <row r="6" spans="1:3" ht="5.95" customHeight="1" x14ac:dyDescent="0.25"/>
    <row r="7" spans="1:3" ht="5.95" customHeight="1" x14ac:dyDescent="0.25"/>
    <row r="8" spans="1:3" ht="5.95" customHeight="1" x14ac:dyDescent="0.25"/>
    <row r="9" spans="1:3" ht="14.25" customHeight="1" x14ac:dyDescent="0.25">
      <c r="A9" s="72" t="s">
        <v>45</v>
      </c>
    </row>
    <row r="10" spans="1:3" ht="15.05" customHeight="1" x14ac:dyDescent="0.25">
      <c r="A10" s="72" t="s">
        <v>46</v>
      </c>
      <c r="B10" s="71"/>
      <c r="C10" s="71"/>
    </row>
    <row r="11" spans="1:3" x14ac:dyDescent="0.25">
      <c r="A11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2" spans="1:3" x14ac:dyDescent="0.25">
      <c r="A12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3" spans="1:3" x14ac:dyDescent="0.25">
      <c r="A13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4" spans="1:3" x14ac:dyDescent="0.25">
      <c r="A14" t="str">
        <f>IF(Notas!E10&lt;&gt;0,"e;"&amp;TEXT(Notas!B10,"DD/MM/AAAA HH:MM")&amp;";"&amp;Notas!C10&amp;";"&amp;Notas!D10&amp;";"&amp;ABS(Notas!E10)&amp;";"&amp;ABS(Notas!G10)&amp;";"&amp;Notas!F10,"")</f>
        <v/>
      </c>
    </row>
    <row r="15" spans="1:3" x14ac:dyDescent="0.25">
      <c r="A15" t="str">
        <f>IF(Notas!E11&lt;&gt;0,"e;"&amp;TEXT(Notas!B11,"DD/MM/AAAA HH:MM")&amp;";"&amp;Notas!C11&amp;";"&amp;Notas!D11&amp;";"&amp;ABS(Notas!E11)&amp;";"&amp;ABS(Notas!G11)&amp;";"&amp;Notas!F11,"")</f>
        <v>e;01/01/2015 00:00;C;ITUB4;438;0;32.161</v>
      </c>
    </row>
    <row r="16" spans="1:3" x14ac:dyDescent="0.25">
      <c r="A16" t="e">
        <f>IF(Notas!E12&lt;&gt;0,"e;"&amp;TEXT(Notas!B12,"DD/MM/AAAA HH:MM")&amp;";"&amp;Notas!C12&amp;";"&amp;Notas!D12&amp;";"&amp;ABS(Notas!E12)&amp;";"&amp;ABS(Notas!#REF!)&amp;";"&amp;Notas!F12,"")</f>
        <v>#REF!</v>
      </c>
    </row>
    <row r="17" spans="1:1" x14ac:dyDescent="0.25">
      <c r="A17" t="e">
        <f>IF(Notas!E13&lt;&gt;0,"e;"&amp;TEXT(Notas!B13,"DD/MM/AAAA HH:MM")&amp;";"&amp;Notas!C13&amp;";"&amp;Notas!D13&amp;";"&amp;ABS(Notas!E13)&amp;";"&amp;ABS(Notas!#REF!)&amp;";"&amp;Notas!F13,"")</f>
        <v>#REF!</v>
      </c>
    </row>
    <row r="18" spans="1:1" x14ac:dyDescent="0.25">
      <c r="A18" t="str">
        <f>IF(Notas!E14&lt;&gt;0,"e;"&amp;TEXT(Notas!B14,"DD/MM/AAAA HH:MM")&amp;";"&amp;Notas!C14&amp;";"&amp;Notas!D14&amp;";"&amp;ABS(Notas!E14)&amp;";"&amp;ABS(Notas!G14)&amp;";"&amp;Notas!F14,"")</f>
        <v/>
      </c>
    </row>
    <row r="19" spans="1:1" x14ac:dyDescent="0.25">
      <c r="A19" t="str">
        <f>IF(Notas!E18&lt;&gt;0,"e;"&amp;TEXT(Notas!B18,"DD/MM/AAAA HH:MM")&amp;";"&amp;Notas!C18&amp;";"&amp;Notas!D18&amp;";"&amp;ABS(Notas!E18)&amp;";"&amp;ABS(Notas!G18)&amp;";"&amp;Notas!F18,"")</f>
        <v/>
      </c>
    </row>
    <row r="20" spans="1:1" x14ac:dyDescent="0.25">
      <c r="A20" t="str">
        <f>IF(Notas!E19&lt;&gt;0,"e;"&amp;TEXT(Notas!B19,"DD/MM/AAAA HH:MM")&amp;";"&amp;Notas!C19&amp;";"&amp;Notas!D19&amp;";"&amp;ABS(Notas!E19)&amp;";"&amp;ABS(Notas!G19)&amp;";"&amp;Notas!F19,"")</f>
        <v>e;02/06/2022 00:00;C;KNCA11;100;0;107.01</v>
      </c>
    </row>
    <row r="21" spans="1:1" x14ac:dyDescent="0.25">
      <c r="A21" t="e">
        <f>IF(Notas!E20&lt;&gt;0,"e;"&amp;TEXT(Notas!B20,"DD/MM/AAAA HH:MM")&amp;";"&amp;Notas!C20&amp;";"&amp;Notas!D20&amp;";"&amp;ABS(Notas!E20)&amp;";"&amp;ABS(Notas!#REF!)&amp;";"&amp;Notas!F20,"")</f>
        <v>#REF!</v>
      </c>
    </row>
    <row r="22" spans="1:1" x14ac:dyDescent="0.25">
      <c r="A22" t="e">
        <f>IF(Notas!E21&lt;&gt;0,"e;"&amp;TEXT(Notas!B21,"DD/MM/AAAA HH:MM")&amp;";"&amp;Notas!C21&amp;";"&amp;Notas!D21&amp;";"&amp;ABS(Notas!E21)&amp;";"&amp;ABS(Notas!#REF!)&amp;";"&amp;Notas!F21,"")</f>
        <v>#REF!</v>
      </c>
    </row>
    <row r="23" spans="1:1" x14ac:dyDescent="0.25">
      <c r="A23" t="str">
        <f>IF(Notas!E22&lt;&gt;0,"e;"&amp;TEXT(Notas!B22,"DD/MM/AAAA HH:MM")&amp;";"&amp;Notas!C22&amp;";"&amp;Notas!D22&amp;";"&amp;ABS(Notas!E22)&amp;";"&amp;ABS(Notas!G22)&amp;";"&amp;Notas!F22,"")</f>
        <v>e;02/06/2022 00:00;C;AMZO34;1000;0;3.81</v>
      </c>
    </row>
    <row r="24" spans="1:1" x14ac:dyDescent="0.25">
      <c r="A24" t="str">
        <f>IF(Notas!E23&lt;&gt;0,"e;"&amp;TEXT(Notas!B23,"DD/MM/AAAA HH:MM")&amp;";"&amp;Notas!C23&amp;";"&amp;Notas!D23&amp;";"&amp;ABS(Notas!E23)&amp;";"&amp;ABS(Notas!G23)&amp;";"&amp;Notas!F23,"")</f>
        <v>e;02/06/2022 00:00;C;BOVA11;90;0;108.41</v>
      </c>
    </row>
    <row r="25" spans="1:1" x14ac:dyDescent="0.25">
      <c r="A25" t="str">
        <f>IF(Notas!E24&lt;&gt;0,"e;"&amp;TEXT(Notas!B24,"DD/MM/AAAA HH:MM")&amp;";"&amp;Notas!C24&amp;";"&amp;Notas!D24&amp;";"&amp;ABS(Notas!E24)&amp;";"&amp;ABS(Notas!G24)&amp;";"&amp;Notas!F24,"")</f>
        <v/>
      </c>
    </row>
    <row r="26" spans="1:1" x14ac:dyDescent="0.25">
      <c r="A26" t="str">
        <f>IF(Notas!E25&lt;&gt;0,"e;"&amp;TEXT(Notas!B25,"DD/MM/AAAA HH:MM")&amp;";"&amp;Notas!C25&amp;";"&amp;Notas!D25&amp;";"&amp;ABS(Notas!E25)&amp;";"&amp;ABS(Notas!G25)&amp;";"&amp;Notas!F25,"")</f>
        <v>e;03/06/2022 00:00;C;AMZO34;3000;0;3.77</v>
      </c>
    </row>
    <row r="27" spans="1:1" x14ac:dyDescent="0.25">
      <c r="A27" t="e">
        <f>IF(Notas!E26&lt;&gt;0,"e;"&amp;TEXT(Notas!B26,"DD/MM/AAAA HH:MM")&amp;";"&amp;Notas!C26&amp;";"&amp;Notas!D26&amp;";"&amp;ABS(Notas!E26)&amp;";"&amp;ABS(Notas!G26)&amp;";"&amp;Notas!F26,"")</f>
        <v>#VALUE!</v>
      </c>
    </row>
    <row r="28" spans="1:1" x14ac:dyDescent="0.25">
      <c r="A28" t="str">
        <f>IF(Notas!E27&lt;&gt;0,"e;"&amp;TEXT(Notas!B27,"DD/MM/AAAA HH:MM")&amp;";"&amp;Notas!C27&amp;";"&amp;Notas!D27&amp;";"&amp;ABS(Notas!E27)&amp;";"&amp;ABS(Notas!G27)&amp;";"&amp;Notas!F27,"")</f>
        <v/>
      </c>
    </row>
    <row r="29" spans="1:1" x14ac:dyDescent="0.3">
      <c r="A29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30" spans="1:1" x14ac:dyDescent="0.3">
      <c r="A30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31" spans="1:1" x14ac:dyDescent="0.3">
      <c r="A31" t="str">
        <f>IF(Notas!E28&lt;&gt;0,"e;"&amp;TEXT(Notas!B28,"DD/MM/AAAA HH:MM")&amp;";"&amp;Notas!C28&amp;";"&amp;Notas!D28&amp;";"&amp;ABS(Notas!E28)&amp;";"&amp;ABS(Notas!G28)&amp;";"&amp;Notas!F28,"")</f>
        <v/>
      </c>
    </row>
    <row r="32" spans="1:1" x14ac:dyDescent="0.3">
      <c r="A32" t="e">
        <f>IF(Notas!E29&lt;&gt;0,"e;"&amp;TEXT(Notas!B29,"DD/MM/AAAA HH:MM")&amp;";"&amp;Notas!C29&amp;";"&amp;Notas!D29&amp;";"&amp;ABS(Notas!E29)&amp;";"&amp;ABS(Notas!#REF!)&amp;";"&amp;Notas!F29,"")</f>
        <v>#REF!</v>
      </c>
    </row>
    <row r="33" spans="1:1" x14ac:dyDescent="0.3">
      <c r="A33" t="e">
        <f>IF(Notas!E30&lt;&gt;0,"e;"&amp;TEXT(Notas!B30,"DD/MM/AAAA HH:MM")&amp;";"&amp;Notas!C30&amp;";"&amp;Notas!D30&amp;";"&amp;ABS(Notas!E30)&amp;";"&amp;ABS(Notas!G29)&amp;";"&amp;Notas!F30,"")</f>
        <v>#VALUE!</v>
      </c>
    </row>
    <row r="34" spans="1:1" x14ac:dyDescent="0.3">
      <c r="A34" t="str">
        <f>IF(Notas!E31&lt;&gt;0,"e;"&amp;TEXT(Notas!B31,"DD/MM/AAAA HH:MM")&amp;";"&amp;Notas!C31&amp;";"&amp;Notas!D31&amp;";"&amp;ABS(Notas!E31)&amp;";"&amp;ABS(Notas!G30)&amp;";"&amp;Notas!F31,"")</f>
        <v/>
      </c>
    </row>
    <row r="35" spans="1:1" x14ac:dyDescent="0.3">
      <c r="A35" t="str">
        <f>IF(Notas!E32&lt;&gt;0,"e;"&amp;TEXT(Notas!B32,"DD/MM/AAAA HH:MM")&amp;";"&amp;Notas!C32&amp;";"&amp;Notas!D32&amp;";"&amp;ABS(Notas!E32)&amp;";"&amp;ABS(Notas!G32)&amp;";"&amp;Notas!F32,"")</f>
        <v/>
      </c>
    </row>
    <row r="36" spans="1:1" x14ac:dyDescent="0.3">
      <c r="A36" t="str">
        <f>IF(Notas!E33&lt;&gt;0,"e;"&amp;TEXT(Notas!B33,"DD/MM/AAAA HH:MM")&amp;";"&amp;Notas!C33&amp;";"&amp;Notas!D33&amp;";"&amp;ABS(Notas!E33)&amp;";"&amp;ABS(Notas!G33)&amp;";"&amp;Notas!F33,"")</f>
        <v/>
      </c>
    </row>
    <row r="37" spans="1:1" x14ac:dyDescent="0.3">
      <c r="A37" t="str">
        <f>IF(Notas!E34&lt;&gt;0,"e;"&amp;TEXT(Notas!B34,"DD/MM/AAAA HH:MM")&amp;";"&amp;Notas!C34&amp;";"&amp;Notas!D34&amp;";"&amp;ABS(Notas!E34)&amp;";"&amp;ABS(Notas!G34)&amp;";"&amp;Notas!F34,"")</f>
        <v/>
      </c>
    </row>
    <row r="38" spans="1:1" x14ac:dyDescent="0.3">
      <c r="A38" t="str">
        <f>IF(Notas!E35&lt;&gt;0,"e;"&amp;TEXT(Notas!B35,"DD/MM/AAAA HH:MM")&amp;";"&amp;Notas!C35&amp;";"&amp;Notas!D35&amp;";"&amp;ABS(Notas!E35)&amp;";"&amp;ABS(Notas!G35)&amp;";"&amp;Notas!F35,"")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Notas</vt:lpstr>
      <vt:lpstr>Carteira</vt:lpstr>
      <vt:lpstr>Dividendos</vt:lpstr>
      <vt:lpstr>Serie</vt:lpstr>
      <vt:lpstr>NassauSt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Reis</dc:creator>
  <cp:lastModifiedBy>Omar Reis</cp:lastModifiedBy>
  <cp:lastPrinted>2019-10-31T15:14:31Z</cp:lastPrinted>
  <dcterms:created xsi:type="dcterms:W3CDTF">2019-09-24T15:41:09Z</dcterms:created>
  <dcterms:modified xsi:type="dcterms:W3CDTF">2022-09-27T13:56:51Z</dcterms:modified>
</cp:coreProperties>
</file>